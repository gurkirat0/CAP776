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41" documentId="11_F32A27C7A1AC563A67AB634FA8BB63F59EA31876" xr6:coauthVersionLast="47" xr6:coauthVersionMax="47" xr10:uidLastSave="{08B38FE9-44F6-492A-9BDA-BA5F94AA92D3}"/>
  <bookViews>
    <workbookView minimized="1" xWindow="2928" yWindow="2928" windowWidth="17280" windowHeight="88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6" i="2"/>
  <c r="J6" i="2" s="1"/>
</calcChain>
</file>

<file path=xl/sharedStrings.xml><?xml version="1.0" encoding="utf-8"?>
<sst xmlns="http://schemas.openxmlformats.org/spreadsheetml/2006/main" count="89" uniqueCount="68">
  <si>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</si>
  <si>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</si>
  <si>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</si>
  <si>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</si>
  <si>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</si>
  <si>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</si>
  <si>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</si>
  <si>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</si>
  <si>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</si>
  <si>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</si>
  <si>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</si>
  <si>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</si>
  <si>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</si>
  <si>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</si>
  <si>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</si>
  <si>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</si>
  <si>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</si>
  <si>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</si>
  <si>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</si>
  <si>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</si>
  <si>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</si>
  <si>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</si>
  <si>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</si>
  <si>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</si>
  <si>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</si>
  <si>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</si>
  <si>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</si>
  <si>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feeling 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</si>
  <si>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</si>
  <si>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</si>
  <si>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</si>
  <si>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</si>
  <si>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</si>
  <si>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</si>
  <si>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</si>
  <si>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</si>
  <si>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</si>
  <si>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</si>
  <si>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</si>
  <si>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</si>
  <si>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</si>
  <si>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</si>
  <si>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</si>
  <si>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</si>
  <si>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</si>
  <si>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</si>
  <si>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</si>
  <si>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</si>
  <si>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</si>
  <si>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</si>
  <si>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</si>
  <si>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</si>
  <si>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</si>
  <si>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</si>
  <si>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</si>
  <si>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</si>
  <si>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</si>
  <si>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</si>
  <si>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</si>
  <si>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</si>
  <si>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</si>
  <si>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</si>
  <si>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</si>
  <si>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</si>
  <si>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</si>
  <si>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</si>
  <si>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</si>
  <si>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Utilized the Sunday in other activities and hobbies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</si>
</sst>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  <xf numFmtId="0" fontId="0" fillId="0" borderId="0" xfId="0"/>
    <xf numFmtId="0" fontId="6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33</v>
      </c>
    </row>
    <row r="2" spans="1:1" ht="16.8" customHeight="1" x14ac:dyDescent="0.3">
      <c r="A2" s="2" t="s">
        <v>34</v>
      </c>
    </row>
    <row r="3" spans="1:1" x14ac:dyDescent="0.3">
      <c r="A3" s="3" t="s">
        <v>35</v>
      </c>
    </row>
    <row r="4" spans="1:1" x14ac:dyDescent="0.3">
      <c r="A4" s="4"/>
    </row>
    <row r="5" spans="1:1" x14ac:dyDescent="0.3">
      <c r="A5" s="5" t="s">
        <v>36</v>
      </c>
    </row>
    <row r="6" spans="1:1" x14ac:dyDescent="0.3">
      <c r="A6" s="4" t="s">
        <v>37</v>
      </c>
    </row>
    <row r="7" spans="1:1" x14ac:dyDescent="0.3">
      <c r="A7" s="4"/>
    </row>
    <row r="8" spans="1:1" x14ac:dyDescent="0.3">
      <c r="A8" s="5" t="s">
        <v>38</v>
      </c>
    </row>
    <row r="9" spans="1:1" x14ac:dyDescent="0.3">
      <c r="A9" s="4" t="s">
        <v>39</v>
      </c>
    </row>
    <row r="10" spans="1:1" x14ac:dyDescent="0.3">
      <c r="A10" s="4" t="s">
        <v>40</v>
      </c>
    </row>
    <row r="11" spans="1:1" x14ac:dyDescent="0.3">
      <c r="A11" s="4" t="s">
        <v>41</v>
      </c>
    </row>
    <row r="12" spans="1:1" x14ac:dyDescent="0.3">
      <c r="A12" s="4"/>
    </row>
    <row r="13" spans="1:1" x14ac:dyDescent="0.3">
      <c r="A13" s="5" t="s">
        <v>42</v>
      </c>
    </row>
    <row r="14" spans="1:1" x14ac:dyDescent="0.3">
      <c r="A14" s="4" t="s">
        <v>43</v>
      </c>
    </row>
    <row r="15" spans="1:1" x14ac:dyDescent="0.3">
      <c r="A15" s="4" t="s">
        <v>44</v>
      </c>
    </row>
    <row r="16" spans="1:1" x14ac:dyDescent="0.3">
      <c r="A16" s="4"/>
    </row>
    <row r="17" spans="1:1" x14ac:dyDescent="0.3">
      <c r="A17" s="5" t="s">
        <v>45</v>
      </c>
    </row>
    <row r="18" spans="1:1" x14ac:dyDescent="0.3">
      <c r="A18" s="4" t="s">
        <v>46</v>
      </c>
    </row>
    <row r="19" spans="1:1" x14ac:dyDescent="0.3">
      <c r="A19" s="4" t="s">
        <v>47</v>
      </c>
    </row>
    <row r="20" spans="1:1" x14ac:dyDescent="0.3">
      <c r="A20" s="4" t="s">
        <v>48</v>
      </c>
    </row>
    <row r="21" spans="1:1" x14ac:dyDescent="0.3">
      <c r="A21" s="4" t="s">
        <v>49</v>
      </c>
    </row>
    <row r="22" spans="1:1" x14ac:dyDescent="0.3">
      <c r="A22" s="4" t="s">
        <v>50</v>
      </c>
    </row>
    <row r="23" spans="1:1" x14ac:dyDescent="0.3">
      <c r="A23" s="4" t="s">
        <v>51</v>
      </c>
    </row>
    <row r="24" spans="1:1" x14ac:dyDescent="0.3">
      <c r="A24" s="4" t="s">
        <v>52</v>
      </c>
    </row>
    <row r="25" spans="1:1" x14ac:dyDescent="0.3">
      <c r="A25" s="4" t="s">
        <v>53</v>
      </c>
    </row>
    <row r="26" spans="1:1" x14ac:dyDescent="0.3">
      <c r="A26" s="4" t="s">
        <v>54</v>
      </c>
    </row>
    <row r="27" spans="1:1" x14ac:dyDescent="0.3">
      <c r="A27" s="4" t="s">
        <v>55</v>
      </c>
    </row>
    <row r="28" spans="1:1" x14ac:dyDescent="0.3">
      <c r="A28" s="4" t="s">
        <v>56</v>
      </c>
    </row>
    <row r="29" spans="1:1" x14ac:dyDescent="0.3">
      <c r="A29" s="4" t="s">
        <v>57</v>
      </c>
    </row>
    <row r="30" spans="1:1" x14ac:dyDescent="0.3">
      <c r="A30" s="4" t="s">
        <v>58</v>
      </c>
    </row>
    <row r="31" spans="1:1" x14ac:dyDescent="0.3">
      <c r="A31" s="4" t="s">
        <v>59</v>
      </c>
    </row>
    <row r="32" spans="1:1" x14ac:dyDescent="0.3">
      <c r="A32" s="4"/>
    </row>
    <row r="33" spans="1:1" x14ac:dyDescent="0.3">
      <c r="A33" s="5" t="s">
        <v>60</v>
      </c>
    </row>
    <row r="34" spans="1:1" x14ac:dyDescent="0.3">
      <c r="A34" s="4" t="s">
        <v>61</v>
      </c>
    </row>
    <row r="35" spans="1:1" x14ac:dyDescent="0.3">
      <c r="A35" s="4" t="s">
        <v>62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2" sqref="O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19.5" customHeight="1" x14ac:dyDescent="0.3">
      <c r="A2" s="6" t="s">
        <v>1</v>
      </c>
      <c r="B2" s="18" t="s">
        <v>2</v>
      </c>
      <c r="C2" s="21"/>
      <c r="D2" s="19"/>
      <c r="E2" s="6" t="s">
        <v>3</v>
      </c>
      <c r="F2" s="20">
        <v>12614066</v>
      </c>
      <c r="G2" s="19"/>
    </row>
    <row r="3" spans="1:14" ht="19.5" customHeight="1" x14ac:dyDescent="0.3">
      <c r="A3" s="6" t="s">
        <v>4</v>
      </c>
      <c r="B3" s="18" t="s">
        <v>5</v>
      </c>
      <c r="C3" s="21"/>
      <c r="D3" s="19"/>
      <c r="E3" s="6" t="s">
        <v>6</v>
      </c>
      <c r="F3" s="18" t="s">
        <v>7</v>
      </c>
      <c r="G3" s="19"/>
    </row>
    <row r="4" spans="1:14" x14ac:dyDescent="0.3">
      <c r="A4" s="22" t="s">
        <v>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23</v>
      </c>
      <c r="L6" s="11" t="s">
        <v>23</v>
      </c>
      <c r="M6" s="11" t="s">
        <v>24</v>
      </c>
      <c r="N6" s="12" t="s">
        <v>25</v>
      </c>
    </row>
    <row r="7" spans="1:14" x14ac:dyDescent="0.3">
      <c r="A7" s="13">
        <v>46252</v>
      </c>
      <c r="B7" s="14">
        <v>480</v>
      </c>
      <c r="C7" s="14">
        <v>60</v>
      </c>
      <c r="D7" s="14">
        <v>60</v>
      </c>
      <c r="E7" s="14">
        <v>60</v>
      </c>
      <c r="F7" s="14">
        <v>240</v>
      </c>
      <c r="G7" s="14">
        <v>4</v>
      </c>
      <c r="H7" s="14">
        <v>120</v>
      </c>
      <c r="I7" s="15">
        <v>1020</v>
      </c>
      <c r="J7" s="15">
        <v>420</v>
      </c>
      <c r="K7" s="16" t="s">
        <v>26</v>
      </c>
      <c r="L7" s="16" t="s">
        <v>23</v>
      </c>
      <c r="M7" s="16" t="s">
        <v>24</v>
      </c>
      <c r="N7" s="17" t="s">
        <v>27</v>
      </c>
    </row>
    <row r="8" spans="1:14" x14ac:dyDescent="0.3">
      <c r="A8" s="13">
        <v>46253</v>
      </c>
      <c r="B8" s="14">
        <v>570</v>
      </c>
      <c r="C8" s="14">
        <v>60</v>
      </c>
      <c r="D8" s="14">
        <v>30</v>
      </c>
      <c r="E8" s="14">
        <v>120</v>
      </c>
      <c r="F8" s="14">
        <v>420</v>
      </c>
      <c r="G8" s="14">
        <v>7</v>
      </c>
      <c r="H8" s="14">
        <v>60</v>
      </c>
      <c r="I8" s="15">
        <v>1260</v>
      </c>
      <c r="J8" s="15">
        <v>180</v>
      </c>
      <c r="K8" s="16" t="s">
        <v>26</v>
      </c>
      <c r="L8" s="16" t="s">
        <v>28</v>
      </c>
      <c r="M8" s="16" t="s">
        <v>24</v>
      </c>
      <c r="N8" s="17" t="s">
        <v>29</v>
      </c>
    </row>
    <row r="9" spans="1:14" ht="28.8" x14ac:dyDescent="0.3">
      <c r="A9" s="13">
        <v>46254</v>
      </c>
      <c r="B9" s="14">
        <v>560</v>
      </c>
      <c r="C9" s="14">
        <v>60</v>
      </c>
      <c r="D9" s="14">
        <v>120</v>
      </c>
      <c r="E9" s="14">
        <v>60</v>
      </c>
      <c r="F9" s="14">
        <v>180</v>
      </c>
      <c r="G9" s="14">
        <v>3</v>
      </c>
      <c r="H9" s="14">
        <v>30</v>
      </c>
      <c r="I9" s="15">
        <v>1010</v>
      </c>
      <c r="J9" s="15">
        <v>430</v>
      </c>
      <c r="K9" s="16" t="s">
        <v>26</v>
      </c>
      <c r="L9" s="16" t="s">
        <v>23</v>
      </c>
      <c r="M9" s="16" t="s">
        <v>28</v>
      </c>
      <c r="N9" s="17" t="s">
        <v>30</v>
      </c>
    </row>
    <row r="10" spans="1:14" ht="28.8" x14ac:dyDescent="0.3">
      <c r="A10" s="13">
        <v>46255</v>
      </c>
      <c r="B10" s="14">
        <v>560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180</v>
      </c>
      <c r="I10" s="15">
        <v>740</v>
      </c>
      <c r="J10" s="15">
        <v>700</v>
      </c>
      <c r="K10" s="16" t="s">
        <v>26</v>
      </c>
      <c r="L10" s="16" t="s">
        <v>24</v>
      </c>
      <c r="M10" s="16" t="s">
        <v>28</v>
      </c>
      <c r="N10" s="17" t="s">
        <v>31</v>
      </c>
    </row>
    <row r="11" spans="1:14" ht="28.8" x14ac:dyDescent="0.3">
      <c r="A11" s="13">
        <v>46256</v>
      </c>
      <c r="B11" s="14">
        <v>490</v>
      </c>
      <c r="C11" s="14">
        <v>30</v>
      </c>
      <c r="D11" s="14">
        <v>0</v>
      </c>
      <c r="E11" s="14">
        <v>0</v>
      </c>
      <c r="F11" s="14">
        <v>0</v>
      </c>
      <c r="G11" s="14">
        <v>0</v>
      </c>
      <c r="H11" s="14">
        <v>240</v>
      </c>
      <c r="I11" s="15">
        <v>760</v>
      </c>
      <c r="J11" s="15">
        <v>680</v>
      </c>
      <c r="K11" s="16" t="s">
        <v>26</v>
      </c>
      <c r="L11" s="16" t="s">
        <v>28</v>
      </c>
      <c r="M11" s="16" t="s">
        <v>28</v>
      </c>
      <c r="N11" s="17" t="s">
        <v>32</v>
      </c>
    </row>
    <row r="12" spans="1:14" ht="28.8" x14ac:dyDescent="0.3">
      <c r="A12" s="13">
        <v>46257</v>
      </c>
      <c r="B12" s="14">
        <v>630</v>
      </c>
      <c r="C12" s="14">
        <v>0</v>
      </c>
      <c r="D12" s="14">
        <v>0</v>
      </c>
      <c r="E12" s="14">
        <v>20</v>
      </c>
      <c r="F12" s="14">
        <v>0</v>
      </c>
      <c r="G12" s="14">
        <v>0</v>
      </c>
      <c r="H12" s="14">
        <v>480</v>
      </c>
      <c r="I12" s="15">
        <f t="shared" ref="I12:I75" si="0">IF(SUM(B12:F12,H12)=0,"",SUM(B12:F12,H12))</f>
        <v>1130</v>
      </c>
      <c r="J12" s="15">
        <f t="shared" ref="J12:J75" si="1">IF(I12="","",1440-I12)</f>
        <v>310</v>
      </c>
      <c r="K12" s="16" t="s">
        <v>63</v>
      </c>
      <c r="L12" s="16" t="s">
        <v>64</v>
      </c>
      <c r="M12" s="16" t="s">
        <v>28</v>
      </c>
      <c r="N12" s="17" t="s">
        <v>67</v>
      </c>
    </row>
    <row r="13" spans="1:14" x14ac:dyDescent="0.3">
      <c r="A13" s="13">
        <v>46258</v>
      </c>
      <c r="B13" s="14">
        <v>560</v>
      </c>
      <c r="C13" s="14">
        <v>0</v>
      </c>
      <c r="D13" s="14">
        <v>120</v>
      </c>
      <c r="E13" s="14">
        <v>60</v>
      </c>
      <c r="F13" s="14">
        <v>420</v>
      </c>
      <c r="G13" s="14">
        <v>7</v>
      </c>
      <c r="H13" s="14">
        <v>120</v>
      </c>
      <c r="I13" s="15">
        <f t="shared" si="0"/>
        <v>1280</v>
      </c>
      <c r="J13" s="15">
        <f t="shared" si="1"/>
        <v>160</v>
      </c>
      <c r="K13" s="16" t="s">
        <v>26</v>
      </c>
      <c r="L13" s="16" t="s">
        <v>65</v>
      </c>
      <c r="M13" s="16" t="s">
        <v>24</v>
      </c>
      <c r="N13" s="17" t="s">
        <v>29</v>
      </c>
    </row>
    <row r="14" spans="1:14" ht="28.8" x14ac:dyDescent="0.3">
      <c r="A14" s="13">
        <v>46259</v>
      </c>
      <c r="B14" s="14">
        <v>420</v>
      </c>
      <c r="C14" s="14">
        <v>30</v>
      </c>
      <c r="D14" s="14">
        <v>60</v>
      </c>
      <c r="E14" s="14">
        <v>30</v>
      </c>
      <c r="F14" s="14">
        <v>0</v>
      </c>
      <c r="G14" s="14">
        <v>0</v>
      </c>
      <c r="H14" s="14">
        <v>480</v>
      </c>
      <c r="I14" s="15">
        <f t="shared" si="0"/>
        <v>1020</v>
      </c>
      <c r="J14" s="15">
        <f t="shared" si="1"/>
        <v>420</v>
      </c>
      <c r="K14" s="16" t="s">
        <v>63</v>
      </c>
      <c r="L14" s="16" t="s">
        <v>65</v>
      </c>
      <c r="M14" s="16" t="s">
        <v>28</v>
      </c>
      <c r="N14" s="17" t="s">
        <v>66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ref="I76:I139" si="2">IF(SUM(B76:F76,H76)=0,"",SUM(B76:F76,H76))</f>
        <v/>
      </c>
      <c r="J76" s="15" t="str">
        <f t="shared" ref="J76:J139" si="3">IF(I76="","",1440-I76)</f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2"/>
        <v/>
      </c>
      <c r="J138" s="15" t="str">
        <f t="shared" si="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2"/>
        <v/>
      </c>
      <c r="J139" s="15" t="str">
        <f t="shared" si="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ref="I140:I203" si="4">IF(SUM(B140:F140,H140)=0,"",SUM(B140:F140,H140))</f>
        <v/>
      </c>
      <c r="J140" s="15" t="str">
        <f t="shared" ref="J140:J203" si="5">IF(I140="","",1440-I140)</f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4"/>
        <v/>
      </c>
      <c r="J202" s="15" t="str">
        <f t="shared" si="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4"/>
        <v/>
      </c>
      <c r="J203" s="15" t="str">
        <f t="shared" si="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ref="I204:I267" si="6">IF(SUM(B204:F204,H204)=0,"",SUM(B204:F204,H204))</f>
        <v/>
      </c>
      <c r="J204" s="15" t="str">
        <f t="shared" ref="J204:J267" si="7">IF(I204="","",1440-I204)</f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6"/>
        <v/>
      </c>
      <c r="J266" s="15" t="str">
        <f t="shared" si="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6"/>
        <v/>
      </c>
      <c r="J267" s="15" t="str">
        <f t="shared" si="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ref="I268:I331" si="8">IF(SUM(B268:F268,H268)=0,"",SUM(B268:F268,H268))</f>
        <v/>
      </c>
      <c r="J268" s="15" t="str">
        <f t="shared" ref="J268:J331" si="9">IF(I268="","",1440-I268)</f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8"/>
        <v/>
      </c>
      <c r="J330" s="15" t="str">
        <f t="shared" si="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8"/>
        <v/>
      </c>
      <c r="J331" s="15" t="str">
        <f t="shared" si="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ref="I332:I395" si="10">IF(SUM(B332:F332,H332)=0,"",SUM(B332:F332,H332))</f>
        <v/>
      </c>
      <c r="J332" s="15" t="str">
        <f t="shared" ref="J332:J395" si="11">IF(I332="","",1440-I332)</f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0"/>
        <v/>
      </c>
      <c r="J394" s="15" t="str">
        <f t="shared" si="1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0"/>
        <v/>
      </c>
      <c r="J395" s="15" t="str">
        <f t="shared" si="1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ref="I396:I459" si="12">IF(SUM(B396:F396,H396)=0,"",SUM(B396:F396,H396))</f>
        <v/>
      </c>
      <c r="J396" s="15" t="str">
        <f t="shared" ref="J396:J459" si="13">IF(I396="","",1440-I396)</f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2026-08-26T05:10:21Z</dcterms:modified>
  <dc:language>en-US</dc:language>
</cp:coreProperties>
</file>