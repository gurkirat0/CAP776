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6ff43fa014baa151/ドキュメント/CAP776/data/"/>
    </mc:Choice>
  </mc:AlternateContent>
  <xr:revisionPtr revIDLastSave="231" documentId="13_ncr:1_{CADF272E-8801-4F55-9852-9CC755460BB6}" xr6:coauthVersionLast="47" xr6:coauthVersionMax="47" xr10:uidLastSave="{7CD593FD-949E-4C3C-89A8-EFC6658339B8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2" l="1"/>
  <c r="J51" i="2" s="1"/>
  <c r="I6" i="2"/>
  <c r="J6" i="2" s="1"/>
  <c r="I22" i="2"/>
  <c r="J22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</calcChain>
</file>

<file path=xl/sharedStrings.xml><?xml version="1.0" encoding="utf-8"?>
<sst xmlns="http://schemas.openxmlformats.org/spreadsheetml/2006/main" count="288" uniqueCount="103">
  <si>
    <t>My Data, My Code — Daily Log</t>
  </si>
  <si>
    <t>Name:</t>
  </si>
  <si>
    <t>Gurkirat Kaur</t>
  </si>
  <si>
    <t>Reg No.:</t>
  </si>
  <si>
    <t>Course / Section:</t>
  </si>
  <si>
    <t>CAP776 / D1P2632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</si>
  <si>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</si>
  <si>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</si>
  <si>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</si>
  <si>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</si>
  <si>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</si>
  <si>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</si>
  <si>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</si>
  <si>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</si>
  <si>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</si>
  <si>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</si>
  <si>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</si>
  <si>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</si>
  <si>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</si>
  <si>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</si>
  <si>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</si>
  <si>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</si>
  <si>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</si>
  <si>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</si>
  <si>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Low</t>
  </si>
  <si>
    <t>Felt a bit tired after attending all classes.</t>
  </si>
  <si>
    <t>Good</t>
  </si>
  <si>
    <t>High</t>
  </si>
  <si>
    <t>Attended all classes today</t>
  </si>
  <si>
    <t>Utilized the time in revising lectures</t>
  </si>
  <si>
    <t>Can't Attend classes but utilized time in my hobby</t>
  </si>
  <si>
    <t>Was not having classes today overall day was good</t>
  </si>
  <si>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</si>
  <si>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</si>
  <si>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</si>
  <si>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</si>
  <si>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</si>
  <si>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</si>
  <si>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</si>
  <si>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</si>
  <si>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</si>
  <si>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</si>
  <si>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</si>
  <si>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</si>
  <si>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</si>
  <si>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</si>
  <si>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</si>
  <si>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</si>
  <si>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</si>
  <si>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</si>
  <si>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</si>
  <si>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</si>
  <si>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</si>
  <si>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</si>
  <si>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</si>
  <si>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</si>
  <si>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</si>
  <si>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</si>
  <si>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</si>
  <si>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</si>
  <si>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</si>
  <si>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</si>
  <si>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Excellent</t>
  </si>
  <si>
    <t>Very Satisfied</t>
  </si>
  <si>
    <t>Satisfied</t>
  </si>
  <si>
    <t>Can't Attend classes but utilized time in other activities</t>
  </si>
  <si>
    <t>Practiced For CA</t>
  </si>
  <si>
    <t>Attended all classes today and feeling tired</t>
  </si>
  <si>
    <t>Medium</t>
  </si>
  <si>
    <t xml:space="preserve">Felt a bit tired </t>
  </si>
  <si>
    <t>Utilized the day well</t>
  </si>
  <si>
    <t>Was having presentation</t>
  </si>
  <si>
    <t xml:space="preserve">Worked on my assignment </t>
  </si>
  <si>
    <t>Worked on my assignment and ca</t>
  </si>
  <si>
    <t>Attended all classes felt a bit tired</t>
  </si>
  <si>
    <t>Very Unsatisfied</t>
  </si>
  <si>
    <t>Unsatisfied</t>
  </si>
  <si>
    <t>Worked on assignment</t>
  </si>
  <si>
    <t>Prepared for CA</t>
  </si>
  <si>
    <t>Attended family Gathering</t>
  </si>
  <si>
    <t>Prepared for Mid term Examination</t>
  </si>
  <si>
    <t>Classes were canceled so utilized the day to study for mid term</t>
  </si>
  <si>
    <t>Attended a family event</t>
  </si>
  <si>
    <t>Mid term preparation</t>
  </si>
  <si>
    <t>Was not feeling well today</t>
  </si>
  <si>
    <t>Attended online classes and practiced for mid term</t>
  </si>
  <si>
    <t>Attended online classes and worked on project</t>
  </si>
  <si>
    <t>Went for Shopping</t>
  </si>
  <si>
    <t>Utilized my time in hobby and mid term preperation</t>
  </si>
  <si>
    <t>Celebrated birthday</t>
  </si>
  <si>
    <t>Was having Mid term exam and prepared for next exam</t>
  </si>
  <si>
    <t>Was having a day off between exam</t>
  </si>
  <si>
    <t>Was having analytical skills exam</t>
  </si>
  <si>
    <t>Attended all classes</t>
  </si>
  <si>
    <t>Was having last exam</t>
  </si>
  <si>
    <t>Having a day off after classes</t>
  </si>
  <si>
    <t>Attended some of the classes and spent rest of the time in working on c++ project</t>
  </si>
  <si>
    <t>Attended all the classes</t>
  </si>
  <si>
    <t>Worked on project</t>
  </si>
  <si>
    <t xml:space="preserve">Went for shopping </t>
  </si>
  <si>
    <t>Had family gathering</t>
  </si>
  <si>
    <t>Was not feeling well</t>
  </si>
  <si>
    <t>No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</si>
</sst>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/>
    <xf numFmtId="0" fontId="0" fillId="0" borderId="0" xfId="0"/>
    <xf numFmtId="0" fontId="0" fillId="2" borderId="1" xfId="0" applyFill="1" applyBorder="1"/>
    <xf numFmtId="0" fontId="0" fillId="0" borderId="3" xfId="0" applyBorder="1"/>
    <xf numFmtId="0" fontId="0" fillId="2" borderId="1" xfId="0" applyFill="1" applyBorder="1" applyAlignment="1">
      <alignment horizontal="left"/>
    </xf>
    <xf numFmtId="0" fontId="0" fillId="0" borderId="2" xfId="0" applyBorder="1"/>
    <xf numFmtId="0" fontId="8" fillId="0" borderId="0" xfId="0" applyFo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customHeight="1" x14ac:dyDescent="0.4">
      <c r="A1" s="1" t="s">
        <v>32</v>
      </c>
    </row>
    <row r="2" spans="1:1" ht="16.8" customHeight="1" x14ac:dyDescent="0.3">
      <c r="A2" s="2" t="s">
        <v>33</v>
      </c>
    </row>
    <row r="3" spans="1:1" x14ac:dyDescent="0.3">
      <c r="A3" s="3" t="s">
        <v>34</v>
      </c>
    </row>
    <row r="4" spans="1:1" x14ac:dyDescent="0.3">
      <c r="A4" s="4"/>
    </row>
    <row r="5" spans="1:1" x14ac:dyDescent="0.3">
      <c r="A5" s="5" t="s">
        <v>35</v>
      </c>
    </row>
    <row r="6" spans="1:1" x14ac:dyDescent="0.3">
      <c r="A6" s="4" t="s">
        <v>36</v>
      </c>
    </row>
    <row r="7" spans="1:1" x14ac:dyDescent="0.3">
      <c r="A7" s="4"/>
    </row>
    <row r="8" spans="1:1" x14ac:dyDescent="0.3">
      <c r="A8" s="5" t="s">
        <v>37</v>
      </c>
    </row>
    <row r="9" spans="1:1" x14ac:dyDescent="0.3">
      <c r="A9" s="4" t="s">
        <v>38</v>
      </c>
    </row>
    <row r="10" spans="1:1" x14ac:dyDescent="0.3">
      <c r="A10" s="4" t="s">
        <v>39</v>
      </c>
    </row>
    <row r="11" spans="1:1" x14ac:dyDescent="0.3">
      <c r="A11" s="4" t="s">
        <v>40</v>
      </c>
    </row>
    <row r="12" spans="1:1" x14ac:dyDescent="0.3">
      <c r="A12" s="4"/>
    </row>
    <row r="13" spans="1:1" x14ac:dyDescent="0.3">
      <c r="A13" s="5" t="s">
        <v>41</v>
      </c>
    </row>
    <row r="14" spans="1:1" x14ac:dyDescent="0.3">
      <c r="A14" s="4" t="s">
        <v>42</v>
      </c>
    </row>
    <row r="15" spans="1:1" x14ac:dyDescent="0.3">
      <c r="A15" s="4" t="s">
        <v>43</v>
      </c>
    </row>
    <row r="16" spans="1:1" x14ac:dyDescent="0.3">
      <c r="A16" s="4"/>
    </row>
    <row r="17" spans="1:1" x14ac:dyDescent="0.3">
      <c r="A17" s="5" t="s">
        <v>44</v>
      </c>
    </row>
    <row r="18" spans="1:1" x14ac:dyDescent="0.3">
      <c r="A18" s="4" t="s">
        <v>45</v>
      </c>
    </row>
    <row r="19" spans="1:1" x14ac:dyDescent="0.3">
      <c r="A19" s="4" t="s">
        <v>46</v>
      </c>
    </row>
    <row r="20" spans="1:1" x14ac:dyDescent="0.3">
      <c r="A20" s="4" t="s">
        <v>47</v>
      </c>
    </row>
    <row r="21" spans="1:1" x14ac:dyDescent="0.3">
      <c r="A21" s="4" t="s">
        <v>48</v>
      </c>
    </row>
    <row r="22" spans="1:1" x14ac:dyDescent="0.3">
      <c r="A22" s="4" t="s">
        <v>49</v>
      </c>
    </row>
    <row r="23" spans="1:1" x14ac:dyDescent="0.3">
      <c r="A23" s="4" t="s">
        <v>50</v>
      </c>
    </row>
    <row r="24" spans="1:1" x14ac:dyDescent="0.3">
      <c r="A24" s="4" t="s">
        <v>51</v>
      </c>
    </row>
    <row r="25" spans="1:1" x14ac:dyDescent="0.3">
      <c r="A25" s="4" t="s">
        <v>52</v>
      </c>
    </row>
    <row r="26" spans="1:1" x14ac:dyDescent="0.3">
      <c r="A26" s="4" t="s">
        <v>53</v>
      </c>
    </row>
    <row r="27" spans="1:1" x14ac:dyDescent="0.3">
      <c r="A27" s="4" t="s">
        <v>54</v>
      </c>
    </row>
    <row r="28" spans="1:1" x14ac:dyDescent="0.3">
      <c r="A28" s="4" t="s">
        <v>55</v>
      </c>
    </row>
    <row r="29" spans="1:1" x14ac:dyDescent="0.3">
      <c r="A29" s="4" t="s">
        <v>56</v>
      </c>
    </row>
    <row r="30" spans="1:1" x14ac:dyDescent="0.3">
      <c r="A30" s="4" t="s">
        <v>57</v>
      </c>
    </row>
    <row r="31" spans="1:1" x14ac:dyDescent="0.3">
      <c r="A31" s="4" t="s">
        <v>58</v>
      </c>
    </row>
    <row r="32" spans="1:1" x14ac:dyDescent="0.3">
      <c r="A32" s="4"/>
    </row>
    <row r="33" spans="1:1" x14ac:dyDescent="0.3">
      <c r="A33" s="5" t="s">
        <v>59</v>
      </c>
    </row>
    <row r="34" spans="1:1" x14ac:dyDescent="0.3">
      <c r="A34" s="4" t="s">
        <v>60</v>
      </c>
    </row>
    <row r="35" spans="1:1" x14ac:dyDescent="0.3">
      <c r="A35" s="4" t="s">
        <v>61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7"/>
  <sheetViews>
    <sheetView showGridLines="0" tabSelected="1" zoomScaleNormal="100" workbookViewId="0">
      <pane xSplit="1" ySplit="5" topLeftCell="B57" activePane="bottomRight" state="frozen"/>
      <selection pane="topRight" activeCell="B1" sqref="B1"/>
      <selection pane="bottomLeft" activeCell="A6" sqref="A6"/>
      <selection pane="bottomRight" activeCell="M63" sqref="M6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1</v>
      </c>
      <c r="B2" s="20" t="s">
        <v>2</v>
      </c>
      <c r="C2" s="23"/>
      <c r="D2" s="21"/>
      <c r="E2" s="6" t="s">
        <v>3</v>
      </c>
      <c r="F2" s="22">
        <v>12614066</v>
      </c>
      <c r="G2" s="21"/>
    </row>
    <row r="3" spans="1:14" ht="19.5" customHeight="1" x14ac:dyDescent="0.3">
      <c r="A3" s="6" t="s">
        <v>4</v>
      </c>
      <c r="B3" s="20" t="s">
        <v>5</v>
      </c>
      <c r="C3" s="23"/>
      <c r="D3" s="21"/>
      <c r="E3" s="6" t="s">
        <v>6</v>
      </c>
      <c r="F3" s="20" t="s">
        <v>7</v>
      </c>
      <c r="G3" s="21"/>
    </row>
    <row r="4" spans="1:14" x14ac:dyDescent="0.3">
      <c r="A4" s="24" t="s">
        <v>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customHeight="1" x14ac:dyDescent="0.3">
      <c r="A5" s="7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</row>
    <row r="6" spans="1:14" ht="28.8" customHeight="1" x14ac:dyDescent="0.3">
      <c r="A6" s="8">
        <v>46251</v>
      </c>
      <c r="B6" s="9">
        <v>240</v>
      </c>
      <c r="C6" s="9">
        <v>0</v>
      </c>
      <c r="D6" s="9">
        <v>60</v>
      </c>
      <c r="E6" s="9">
        <v>60</v>
      </c>
      <c r="F6" s="9">
        <v>250</v>
      </c>
      <c r="G6" s="9">
        <v>5</v>
      </c>
      <c r="H6" s="9">
        <v>120</v>
      </c>
      <c r="I6" s="10">
        <f>IF(SUM(B6:F6,H6)=0,"",SUM(B6:F6,H6))</f>
        <v>730</v>
      </c>
      <c r="J6" s="10">
        <f>IF(I6="","",1440-I6)</f>
        <v>710</v>
      </c>
      <c r="K6" s="11" t="s">
        <v>24</v>
      </c>
      <c r="L6" s="11" t="s">
        <v>75</v>
      </c>
      <c r="M6" s="11" t="s">
        <v>24</v>
      </c>
      <c r="N6" s="12" t="s">
        <v>25</v>
      </c>
    </row>
    <row r="7" spans="1:14" ht="28.8" x14ac:dyDescent="0.3">
      <c r="A7" s="13">
        <v>46254</v>
      </c>
      <c r="B7" s="14">
        <v>560</v>
      </c>
      <c r="C7" s="14">
        <v>60</v>
      </c>
      <c r="D7" s="14">
        <v>120</v>
      </c>
      <c r="E7" s="14">
        <v>60</v>
      </c>
      <c r="F7" s="14">
        <v>180</v>
      </c>
      <c r="G7" s="14">
        <v>3</v>
      </c>
      <c r="H7" s="14">
        <v>360</v>
      </c>
      <c r="I7" s="15">
        <v>1010</v>
      </c>
      <c r="J7" s="15">
        <v>430</v>
      </c>
      <c r="K7" s="16" t="s">
        <v>62</v>
      </c>
      <c r="L7" s="16" t="s">
        <v>76</v>
      </c>
      <c r="M7" s="16" t="s">
        <v>27</v>
      </c>
      <c r="N7" s="17" t="s">
        <v>29</v>
      </c>
    </row>
    <row r="8" spans="1:14" ht="28.8" x14ac:dyDescent="0.3">
      <c r="A8" s="13">
        <v>46255</v>
      </c>
      <c r="B8" s="14">
        <v>560</v>
      </c>
      <c r="C8" s="14">
        <v>120</v>
      </c>
      <c r="D8" s="14">
        <v>0</v>
      </c>
      <c r="E8" s="14">
        <v>0</v>
      </c>
      <c r="F8" s="14">
        <v>0</v>
      </c>
      <c r="G8" s="14">
        <v>0</v>
      </c>
      <c r="H8" s="14">
        <v>480</v>
      </c>
      <c r="I8" s="15">
        <v>740</v>
      </c>
      <c r="J8" s="15">
        <v>700</v>
      </c>
      <c r="K8" s="16" t="s">
        <v>62</v>
      </c>
      <c r="L8" s="16" t="s">
        <v>75</v>
      </c>
      <c r="M8" s="16" t="s">
        <v>27</v>
      </c>
      <c r="N8" s="17" t="s">
        <v>30</v>
      </c>
    </row>
    <row r="9" spans="1:14" ht="28.8" x14ac:dyDescent="0.3">
      <c r="A9" s="13">
        <v>46256</v>
      </c>
      <c r="B9" s="14">
        <v>490</v>
      </c>
      <c r="C9" s="14">
        <v>90</v>
      </c>
      <c r="D9" s="14">
        <v>0</v>
      </c>
      <c r="E9" s="14">
        <v>0</v>
      </c>
      <c r="F9" s="14">
        <v>0</v>
      </c>
      <c r="G9" s="14">
        <v>0</v>
      </c>
      <c r="H9" s="14">
        <v>420</v>
      </c>
      <c r="I9" s="15">
        <v>760</v>
      </c>
      <c r="J9" s="15">
        <v>680</v>
      </c>
      <c r="K9" s="16" t="s">
        <v>62</v>
      </c>
      <c r="L9" s="16" t="s">
        <v>75</v>
      </c>
      <c r="M9" s="16" t="s">
        <v>27</v>
      </c>
      <c r="N9" s="17" t="s">
        <v>31</v>
      </c>
    </row>
    <row r="10" spans="1:14" ht="28.8" x14ac:dyDescent="0.3">
      <c r="A10" s="13">
        <v>46259</v>
      </c>
      <c r="B10" s="14">
        <v>420</v>
      </c>
      <c r="C10" s="14">
        <v>60</v>
      </c>
      <c r="D10" s="14">
        <v>60</v>
      </c>
      <c r="E10" s="14">
        <v>30</v>
      </c>
      <c r="F10" s="14">
        <v>0</v>
      </c>
      <c r="G10" s="14">
        <v>0</v>
      </c>
      <c r="H10" s="14">
        <v>480</v>
      </c>
      <c r="I10" s="15">
        <f t="shared" ref="I10:I61" si="0">IF(SUM(B10:F10,H10)=0,"",SUM(B10:F10,H10))</f>
        <v>1050</v>
      </c>
      <c r="J10" s="15">
        <f t="shared" ref="J10:J61" si="1">IF(I10="","",1440-I10)</f>
        <v>390</v>
      </c>
      <c r="K10" s="16" t="s">
        <v>26</v>
      </c>
      <c r="L10" s="16" t="s">
        <v>76</v>
      </c>
      <c r="M10" s="16" t="s">
        <v>27</v>
      </c>
      <c r="N10" s="17" t="s">
        <v>65</v>
      </c>
    </row>
    <row r="11" spans="1:14" ht="28.8" x14ac:dyDescent="0.3">
      <c r="A11" s="13">
        <v>46260</v>
      </c>
      <c r="B11" s="14">
        <v>500</v>
      </c>
      <c r="C11" s="14">
        <v>0</v>
      </c>
      <c r="D11" s="14">
        <v>60</v>
      </c>
      <c r="E11" s="14">
        <v>30</v>
      </c>
      <c r="F11" s="14">
        <v>420</v>
      </c>
      <c r="G11" s="14">
        <v>7</v>
      </c>
      <c r="H11" s="14">
        <v>100</v>
      </c>
      <c r="I11" s="15">
        <f t="shared" si="0"/>
        <v>1110</v>
      </c>
      <c r="J11" s="15">
        <f t="shared" si="1"/>
        <v>330</v>
      </c>
      <c r="K11" s="16" t="s">
        <v>24</v>
      </c>
      <c r="L11" s="16" t="s">
        <v>76</v>
      </c>
      <c r="M11" s="16" t="s">
        <v>24</v>
      </c>
      <c r="N11" s="17" t="s">
        <v>67</v>
      </c>
    </row>
    <row r="12" spans="1:14" x14ac:dyDescent="0.3">
      <c r="A12" s="13">
        <v>46263</v>
      </c>
      <c r="B12" s="14">
        <v>500</v>
      </c>
      <c r="C12" s="14">
        <v>90</v>
      </c>
      <c r="D12" s="14">
        <v>240</v>
      </c>
      <c r="E12" s="14">
        <v>120</v>
      </c>
      <c r="F12" s="14">
        <v>0</v>
      </c>
      <c r="G12" s="14">
        <v>0</v>
      </c>
      <c r="H12" s="14">
        <v>300</v>
      </c>
      <c r="I12" s="15">
        <f t="shared" si="0"/>
        <v>1250</v>
      </c>
      <c r="J12" s="15">
        <f t="shared" si="1"/>
        <v>190</v>
      </c>
      <c r="K12" s="16" t="s">
        <v>62</v>
      </c>
      <c r="L12" s="16" t="s">
        <v>63</v>
      </c>
      <c r="M12" s="16" t="s">
        <v>27</v>
      </c>
      <c r="N12" s="17" t="s">
        <v>66</v>
      </c>
    </row>
    <row r="13" spans="1:14" x14ac:dyDescent="0.3">
      <c r="A13" s="13">
        <v>46264</v>
      </c>
      <c r="B13" s="14">
        <v>620</v>
      </c>
      <c r="C13" s="14">
        <v>120</v>
      </c>
      <c r="D13" s="14">
        <v>300</v>
      </c>
      <c r="E13" s="14">
        <v>60</v>
      </c>
      <c r="F13" s="14">
        <v>0</v>
      </c>
      <c r="G13" s="14">
        <v>0</v>
      </c>
      <c r="H13" s="14">
        <v>280</v>
      </c>
      <c r="I13" s="15">
        <f t="shared" si="0"/>
        <v>1380</v>
      </c>
      <c r="J13" s="15">
        <f t="shared" si="1"/>
        <v>60</v>
      </c>
      <c r="K13" s="16" t="s">
        <v>62</v>
      </c>
      <c r="L13" s="16" t="s">
        <v>63</v>
      </c>
      <c r="M13" s="16" t="s">
        <v>27</v>
      </c>
      <c r="N13" s="17" t="s">
        <v>66</v>
      </c>
    </row>
    <row r="14" spans="1:14" ht="28.8" x14ac:dyDescent="0.3">
      <c r="A14" s="13">
        <v>46266</v>
      </c>
      <c r="B14" s="14">
        <v>450</v>
      </c>
      <c r="C14" s="14">
        <v>120</v>
      </c>
      <c r="D14" s="14">
        <v>120</v>
      </c>
      <c r="E14" s="14">
        <v>0</v>
      </c>
      <c r="F14" s="14">
        <v>0</v>
      </c>
      <c r="G14" s="14">
        <v>0</v>
      </c>
      <c r="H14" s="14">
        <v>480</v>
      </c>
      <c r="I14" s="15">
        <f t="shared" si="0"/>
        <v>1170</v>
      </c>
      <c r="J14" s="15">
        <f t="shared" si="1"/>
        <v>270</v>
      </c>
      <c r="K14" s="16" t="s">
        <v>23</v>
      </c>
      <c r="L14" s="16" t="s">
        <v>64</v>
      </c>
      <c r="M14" s="16" t="s">
        <v>27</v>
      </c>
      <c r="N14" s="17" t="s">
        <v>65</v>
      </c>
    </row>
    <row r="15" spans="1:14" x14ac:dyDescent="0.3">
      <c r="A15" s="13">
        <v>46267</v>
      </c>
      <c r="B15" s="14">
        <v>470</v>
      </c>
      <c r="C15" s="14">
        <v>0</v>
      </c>
      <c r="D15" s="14">
        <v>60</v>
      </c>
      <c r="E15" s="14">
        <v>60</v>
      </c>
      <c r="F15" s="14">
        <v>420</v>
      </c>
      <c r="G15" s="14">
        <v>7</v>
      </c>
      <c r="H15" s="14">
        <v>120</v>
      </c>
      <c r="I15" s="15">
        <f t="shared" si="0"/>
        <v>1130</v>
      </c>
      <c r="J15" s="15">
        <f t="shared" si="1"/>
        <v>310</v>
      </c>
      <c r="K15" s="16" t="s">
        <v>26</v>
      </c>
      <c r="L15" s="16" t="s">
        <v>23</v>
      </c>
      <c r="M15" s="16" t="s">
        <v>24</v>
      </c>
      <c r="N15" s="17" t="s">
        <v>28</v>
      </c>
    </row>
    <row r="16" spans="1:14" x14ac:dyDescent="0.3">
      <c r="A16" s="13">
        <v>46268</v>
      </c>
      <c r="B16" s="14">
        <v>480</v>
      </c>
      <c r="C16" s="14">
        <v>30</v>
      </c>
      <c r="D16" s="14">
        <v>0</v>
      </c>
      <c r="E16" s="14">
        <v>120</v>
      </c>
      <c r="F16" s="14">
        <v>300</v>
      </c>
      <c r="G16" s="14">
        <v>5</v>
      </c>
      <c r="H16" s="14">
        <v>240</v>
      </c>
      <c r="I16" s="15">
        <f t="shared" si="0"/>
        <v>1170</v>
      </c>
      <c r="J16" s="15">
        <f t="shared" si="1"/>
        <v>270</v>
      </c>
      <c r="K16" s="16" t="s">
        <v>26</v>
      </c>
      <c r="L16" s="16" t="s">
        <v>64</v>
      </c>
      <c r="M16" s="16" t="s">
        <v>24</v>
      </c>
      <c r="N16" s="17" t="s">
        <v>70</v>
      </c>
    </row>
    <row r="17" spans="1:14" x14ac:dyDescent="0.3">
      <c r="A17" s="13">
        <v>46269</v>
      </c>
      <c r="B17" s="14">
        <v>510</v>
      </c>
      <c r="C17" s="14">
        <v>30</v>
      </c>
      <c r="D17" s="14">
        <v>30</v>
      </c>
      <c r="E17" s="14">
        <v>120</v>
      </c>
      <c r="F17" s="14">
        <v>300</v>
      </c>
      <c r="G17" s="14">
        <v>5</v>
      </c>
      <c r="H17" s="14">
        <v>180</v>
      </c>
      <c r="I17" s="15">
        <f t="shared" si="0"/>
        <v>1170</v>
      </c>
      <c r="J17" s="15">
        <f t="shared" si="1"/>
        <v>270</v>
      </c>
      <c r="K17" s="16" t="s">
        <v>62</v>
      </c>
      <c r="L17" s="16" t="s">
        <v>64</v>
      </c>
      <c r="M17" s="16" t="s">
        <v>24</v>
      </c>
      <c r="N17" s="17" t="s">
        <v>69</v>
      </c>
    </row>
    <row r="18" spans="1:14" x14ac:dyDescent="0.3">
      <c r="A18" s="13">
        <v>46272</v>
      </c>
      <c r="B18" s="14">
        <v>470</v>
      </c>
      <c r="C18" s="14">
        <v>0</v>
      </c>
      <c r="D18" s="14">
        <v>30</v>
      </c>
      <c r="E18" s="14">
        <v>120</v>
      </c>
      <c r="F18" s="14">
        <v>420</v>
      </c>
      <c r="G18" s="14">
        <v>7</v>
      </c>
      <c r="H18" s="14">
        <v>120</v>
      </c>
      <c r="I18" s="15">
        <f t="shared" si="0"/>
        <v>1160</v>
      </c>
      <c r="J18" s="15">
        <f t="shared" si="1"/>
        <v>280</v>
      </c>
      <c r="K18" s="16" t="s">
        <v>26</v>
      </c>
      <c r="L18" s="16" t="s">
        <v>23</v>
      </c>
      <c r="M18" s="16" t="s">
        <v>24</v>
      </c>
      <c r="N18" s="17" t="s">
        <v>28</v>
      </c>
    </row>
    <row r="19" spans="1:14" x14ac:dyDescent="0.3">
      <c r="A19" s="13">
        <v>46273</v>
      </c>
      <c r="B19" s="14">
        <v>580</v>
      </c>
      <c r="C19" s="14">
        <v>60</v>
      </c>
      <c r="D19" s="14">
        <v>180</v>
      </c>
      <c r="E19" s="14">
        <v>60</v>
      </c>
      <c r="F19" s="14">
        <v>180</v>
      </c>
      <c r="G19" s="14">
        <v>3</v>
      </c>
      <c r="H19" s="14">
        <v>360</v>
      </c>
      <c r="I19" s="15">
        <f t="shared" si="0"/>
        <v>1420</v>
      </c>
      <c r="J19" s="15">
        <f t="shared" si="1"/>
        <v>20</v>
      </c>
      <c r="K19" s="16" t="s">
        <v>62</v>
      </c>
      <c r="L19" s="16" t="s">
        <v>63</v>
      </c>
      <c r="M19" s="16" t="s">
        <v>27</v>
      </c>
      <c r="N19" s="17" t="s">
        <v>71</v>
      </c>
    </row>
    <row r="20" spans="1:14" x14ac:dyDescent="0.3">
      <c r="A20" s="13">
        <v>46274</v>
      </c>
      <c r="B20" s="14">
        <v>460</v>
      </c>
      <c r="C20" s="14">
        <v>0</v>
      </c>
      <c r="D20" s="14">
        <v>120</v>
      </c>
      <c r="E20" s="14">
        <v>60</v>
      </c>
      <c r="F20" s="14">
        <v>420</v>
      </c>
      <c r="G20" s="14">
        <v>7</v>
      </c>
      <c r="H20" s="14">
        <v>120</v>
      </c>
      <c r="I20" s="15">
        <f t="shared" si="0"/>
        <v>1180</v>
      </c>
      <c r="J20" s="15">
        <f t="shared" si="1"/>
        <v>260</v>
      </c>
      <c r="K20" s="16" t="s">
        <v>23</v>
      </c>
      <c r="L20" s="16" t="s">
        <v>64</v>
      </c>
      <c r="M20" s="16" t="s">
        <v>24</v>
      </c>
      <c r="N20" s="17" t="s">
        <v>28</v>
      </c>
    </row>
    <row r="21" spans="1:14" x14ac:dyDescent="0.3">
      <c r="A21" s="13">
        <v>46281</v>
      </c>
      <c r="B21" s="14">
        <v>510</v>
      </c>
      <c r="C21" s="14">
        <v>0</v>
      </c>
      <c r="D21" s="14">
        <v>30</v>
      </c>
      <c r="E21" s="14">
        <v>120</v>
      </c>
      <c r="F21" s="14">
        <v>420</v>
      </c>
      <c r="G21" s="14">
        <v>7</v>
      </c>
      <c r="H21" s="14">
        <v>120</v>
      </c>
      <c r="I21" s="15">
        <f t="shared" si="0"/>
        <v>1200</v>
      </c>
      <c r="J21" s="15">
        <f t="shared" si="1"/>
        <v>240</v>
      </c>
      <c r="K21" s="16" t="s">
        <v>26</v>
      </c>
      <c r="L21" s="16" t="s">
        <v>64</v>
      </c>
      <c r="M21" s="16" t="s">
        <v>24</v>
      </c>
      <c r="N21" s="17" t="s">
        <v>28</v>
      </c>
    </row>
    <row r="22" spans="1:14" x14ac:dyDescent="0.3">
      <c r="A22" s="13">
        <v>46282</v>
      </c>
      <c r="B22" s="14">
        <v>530</v>
      </c>
      <c r="C22" s="14">
        <v>60</v>
      </c>
      <c r="D22" s="14">
        <v>120</v>
      </c>
      <c r="E22" s="14">
        <v>60</v>
      </c>
      <c r="F22" s="14">
        <v>240</v>
      </c>
      <c r="G22" s="14">
        <v>4</v>
      </c>
      <c r="H22" s="14">
        <v>240</v>
      </c>
      <c r="I22" s="15">
        <f t="shared" si="0"/>
        <v>1250</v>
      </c>
      <c r="J22" s="15">
        <f t="shared" si="1"/>
        <v>190</v>
      </c>
      <c r="K22" s="16" t="s">
        <v>62</v>
      </c>
      <c r="L22" s="16" t="s">
        <v>63</v>
      </c>
      <c r="M22" s="16" t="s">
        <v>68</v>
      </c>
      <c r="N22" s="17" t="s">
        <v>70</v>
      </c>
    </row>
    <row r="23" spans="1:14" x14ac:dyDescent="0.3">
      <c r="A23" s="13">
        <v>46283</v>
      </c>
      <c r="B23" s="14">
        <v>420</v>
      </c>
      <c r="C23" s="14">
        <v>0</v>
      </c>
      <c r="D23" s="14">
        <v>30</v>
      </c>
      <c r="E23" s="14">
        <v>0</v>
      </c>
      <c r="F23" s="14">
        <v>360</v>
      </c>
      <c r="G23" s="14">
        <v>6</v>
      </c>
      <c r="H23" s="14">
        <v>180</v>
      </c>
      <c r="I23" s="15">
        <f t="shared" si="0"/>
        <v>990</v>
      </c>
      <c r="J23" s="15">
        <f t="shared" si="1"/>
        <v>450</v>
      </c>
      <c r="K23" s="16" t="s">
        <v>26</v>
      </c>
      <c r="L23" s="16" t="s">
        <v>75</v>
      </c>
      <c r="M23" s="16" t="s">
        <v>24</v>
      </c>
      <c r="N23" s="17" t="s">
        <v>28</v>
      </c>
    </row>
    <row r="24" spans="1:14" x14ac:dyDescent="0.3">
      <c r="A24" s="13">
        <v>46284</v>
      </c>
      <c r="B24" s="14">
        <v>420</v>
      </c>
      <c r="C24" s="14">
        <v>120</v>
      </c>
      <c r="D24" s="14">
        <v>120</v>
      </c>
      <c r="E24" s="14">
        <v>60</v>
      </c>
      <c r="F24" s="14">
        <v>0</v>
      </c>
      <c r="G24" s="14">
        <v>0</v>
      </c>
      <c r="H24" s="14">
        <v>360</v>
      </c>
      <c r="I24" s="15">
        <f t="shared" si="0"/>
        <v>1080</v>
      </c>
      <c r="J24" s="15">
        <f t="shared" si="1"/>
        <v>360</v>
      </c>
      <c r="K24" s="16" t="s">
        <v>26</v>
      </c>
      <c r="L24" s="16" t="s">
        <v>76</v>
      </c>
      <c r="M24" s="16" t="s">
        <v>27</v>
      </c>
      <c r="N24" s="17" t="s">
        <v>72</v>
      </c>
    </row>
    <row r="25" spans="1:14" ht="28.8" x14ac:dyDescent="0.3">
      <c r="A25" s="13">
        <v>46285</v>
      </c>
      <c r="B25" s="14">
        <v>630</v>
      </c>
      <c r="C25" s="14">
        <v>120</v>
      </c>
      <c r="D25" s="14">
        <v>120</v>
      </c>
      <c r="E25" s="14">
        <v>30</v>
      </c>
      <c r="F25" s="14">
        <v>0</v>
      </c>
      <c r="G25" s="14">
        <v>0</v>
      </c>
      <c r="H25" s="14">
        <v>300</v>
      </c>
      <c r="I25" s="15">
        <f t="shared" si="0"/>
        <v>1200</v>
      </c>
      <c r="J25" s="15">
        <f t="shared" si="1"/>
        <v>240</v>
      </c>
      <c r="K25" s="16" t="s">
        <v>62</v>
      </c>
      <c r="L25" s="16" t="s">
        <v>64</v>
      </c>
      <c r="M25" s="16" t="s">
        <v>27</v>
      </c>
      <c r="N25" s="17" t="s">
        <v>73</v>
      </c>
    </row>
    <row r="26" spans="1:14" ht="28.8" x14ac:dyDescent="0.3">
      <c r="A26" s="13">
        <v>46286</v>
      </c>
      <c r="B26" s="14">
        <v>510</v>
      </c>
      <c r="C26" s="14">
        <v>0</v>
      </c>
      <c r="D26" s="14">
        <v>60</v>
      </c>
      <c r="E26" s="14">
        <v>0</v>
      </c>
      <c r="F26" s="14">
        <v>360</v>
      </c>
      <c r="G26" s="14">
        <v>6</v>
      </c>
      <c r="H26" s="14">
        <v>120</v>
      </c>
      <c r="I26" s="15">
        <f t="shared" si="0"/>
        <v>1050</v>
      </c>
      <c r="J26" s="15">
        <f t="shared" si="1"/>
        <v>390</v>
      </c>
      <c r="K26" s="16" t="s">
        <v>26</v>
      </c>
      <c r="L26" s="16" t="s">
        <v>76</v>
      </c>
      <c r="M26" s="16" t="s">
        <v>24</v>
      </c>
      <c r="N26" s="17" t="s">
        <v>74</v>
      </c>
    </row>
    <row r="27" spans="1:14" x14ac:dyDescent="0.3">
      <c r="A27" s="13">
        <v>46287</v>
      </c>
      <c r="B27" s="14">
        <v>210</v>
      </c>
      <c r="C27" s="14">
        <v>60</v>
      </c>
      <c r="D27" s="14">
        <v>60</v>
      </c>
      <c r="E27" s="14">
        <v>120</v>
      </c>
      <c r="F27" s="14">
        <v>180</v>
      </c>
      <c r="G27" s="14">
        <v>3</v>
      </c>
      <c r="H27" s="14">
        <v>360</v>
      </c>
      <c r="I27" s="15">
        <f t="shared" si="0"/>
        <v>990</v>
      </c>
      <c r="J27" s="15">
        <f t="shared" si="1"/>
        <v>450</v>
      </c>
      <c r="K27" s="16" t="s">
        <v>24</v>
      </c>
      <c r="L27" s="16" t="s">
        <v>63</v>
      </c>
      <c r="M27" s="16" t="s">
        <v>68</v>
      </c>
      <c r="N27" s="17" t="s">
        <v>77</v>
      </c>
    </row>
    <row r="28" spans="1:14" x14ac:dyDescent="0.3">
      <c r="A28" s="13">
        <v>46288</v>
      </c>
      <c r="B28" s="14">
        <v>540</v>
      </c>
      <c r="C28" s="14">
        <v>0</v>
      </c>
      <c r="D28" s="14">
        <v>30</v>
      </c>
      <c r="E28" s="14">
        <v>60</v>
      </c>
      <c r="F28" s="14">
        <v>360</v>
      </c>
      <c r="G28" s="14">
        <v>6</v>
      </c>
      <c r="H28" s="14">
        <v>180</v>
      </c>
      <c r="I28" s="15">
        <f t="shared" si="0"/>
        <v>1170</v>
      </c>
      <c r="J28" s="15">
        <f t="shared" si="1"/>
        <v>270</v>
      </c>
      <c r="K28" s="16" t="s">
        <v>62</v>
      </c>
      <c r="L28" s="16" t="s">
        <v>64</v>
      </c>
      <c r="M28" s="16" t="s">
        <v>24</v>
      </c>
      <c r="N28" s="17" t="s">
        <v>28</v>
      </c>
    </row>
    <row r="29" spans="1:14" x14ac:dyDescent="0.3">
      <c r="A29" s="13">
        <v>46289</v>
      </c>
      <c r="B29" s="14">
        <v>520</v>
      </c>
      <c r="C29" s="14">
        <v>120</v>
      </c>
      <c r="D29" s="14">
        <v>60</v>
      </c>
      <c r="E29" s="14">
        <v>120</v>
      </c>
      <c r="F29" s="14">
        <v>180</v>
      </c>
      <c r="G29" s="14">
        <v>3</v>
      </c>
      <c r="H29" s="14">
        <v>300</v>
      </c>
      <c r="I29" s="15">
        <f t="shared" si="0"/>
        <v>1300</v>
      </c>
      <c r="J29" s="15">
        <f t="shared" si="1"/>
        <v>140</v>
      </c>
      <c r="K29" s="16" t="s">
        <v>62</v>
      </c>
      <c r="L29" s="16" t="s">
        <v>63</v>
      </c>
      <c r="M29" s="16" t="s">
        <v>27</v>
      </c>
      <c r="N29" s="17" t="s">
        <v>78</v>
      </c>
    </row>
    <row r="30" spans="1:14" x14ac:dyDescent="0.3">
      <c r="A30" s="13">
        <v>46290</v>
      </c>
      <c r="B30" s="14">
        <v>540</v>
      </c>
      <c r="C30" s="14">
        <v>60</v>
      </c>
      <c r="D30" s="14">
        <v>30</v>
      </c>
      <c r="E30" s="14">
        <v>30</v>
      </c>
      <c r="F30" s="14">
        <v>300</v>
      </c>
      <c r="G30" s="14">
        <v>5</v>
      </c>
      <c r="H30" s="14">
        <v>180</v>
      </c>
      <c r="I30" s="15">
        <f t="shared" si="0"/>
        <v>1140</v>
      </c>
      <c r="J30" s="15">
        <f t="shared" si="1"/>
        <v>300</v>
      </c>
      <c r="K30" s="16" t="s">
        <v>62</v>
      </c>
      <c r="L30" s="16" t="s">
        <v>23</v>
      </c>
      <c r="M30" s="16" t="s">
        <v>68</v>
      </c>
      <c r="N30" s="17" t="s">
        <v>79</v>
      </c>
    </row>
    <row r="31" spans="1:14" ht="28.8" x14ac:dyDescent="0.3">
      <c r="A31" s="13">
        <v>46291</v>
      </c>
      <c r="B31" s="14">
        <v>600</v>
      </c>
      <c r="C31" s="14">
        <v>120</v>
      </c>
      <c r="D31" s="14">
        <v>120</v>
      </c>
      <c r="E31" s="14">
        <v>60</v>
      </c>
      <c r="F31" s="14">
        <v>0</v>
      </c>
      <c r="G31" s="14">
        <v>0</v>
      </c>
      <c r="H31" s="14">
        <v>360</v>
      </c>
      <c r="I31" s="15">
        <f t="shared" si="0"/>
        <v>1260</v>
      </c>
      <c r="J31" s="15">
        <f t="shared" si="1"/>
        <v>180</v>
      </c>
      <c r="K31" s="16" t="s">
        <v>62</v>
      </c>
      <c r="L31" s="16" t="s">
        <v>63</v>
      </c>
      <c r="M31" s="16" t="s">
        <v>27</v>
      </c>
      <c r="N31" s="17" t="s">
        <v>80</v>
      </c>
    </row>
    <row r="32" spans="1:14" ht="43.2" x14ac:dyDescent="0.3">
      <c r="A32" s="13">
        <v>46293</v>
      </c>
      <c r="B32" s="14">
        <v>430</v>
      </c>
      <c r="C32" s="14">
        <v>120</v>
      </c>
      <c r="D32" s="14">
        <v>180</v>
      </c>
      <c r="E32" s="14">
        <v>60</v>
      </c>
      <c r="F32" s="14">
        <v>0</v>
      </c>
      <c r="G32" s="14">
        <v>0</v>
      </c>
      <c r="H32" s="14">
        <v>360</v>
      </c>
      <c r="I32" s="15">
        <f t="shared" si="0"/>
        <v>1150</v>
      </c>
      <c r="J32" s="15">
        <f t="shared" si="1"/>
        <v>290</v>
      </c>
      <c r="K32" s="16" t="s">
        <v>26</v>
      </c>
      <c r="L32" s="16" t="s">
        <v>64</v>
      </c>
      <c r="M32" s="16" t="s">
        <v>68</v>
      </c>
      <c r="N32" s="17" t="s">
        <v>81</v>
      </c>
    </row>
    <row r="33" spans="1:14" ht="28.8" x14ac:dyDescent="0.3">
      <c r="A33" s="13">
        <v>46294</v>
      </c>
      <c r="B33" s="14">
        <v>540</v>
      </c>
      <c r="C33" s="14">
        <v>120</v>
      </c>
      <c r="D33" s="14">
        <v>180</v>
      </c>
      <c r="E33" s="14">
        <v>60</v>
      </c>
      <c r="F33" s="14">
        <v>0</v>
      </c>
      <c r="G33" s="14">
        <v>0</v>
      </c>
      <c r="H33" s="14">
        <v>300</v>
      </c>
      <c r="I33" s="15">
        <f t="shared" si="0"/>
        <v>1200</v>
      </c>
      <c r="J33" s="15">
        <f t="shared" si="1"/>
        <v>240</v>
      </c>
      <c r="K33" s="16" t="s">
        <v>62</v>
      </c>
      <c r="L33" s="16" t="s">
        <v>64</v>
      </c>
      <c r="M33" s="16" t="s">
        <v>27</v>
      </c>
      <c r="N33" s="17" t="s">
        <v>65</v>
      </c>
    </row>
    <row r="34" spans="1:14" ht="28.8" x14ac:dyDescent="0.3">
      <c r="A34" s="13">
        <v>46295</v>
      </c>
      <c r="B34" s="14">
        <v>610</v>
      </c>
      <c r="C34" s="14">
        <v>120</v>
      </c>
      <c r="D34" s="14">
        <v>120</v>
      </c>
      <c r="E34" s="14">
        <v>60</v>
      </c>
      <c r="F34" s="14">
        <v>0</v>
      </c>
      <c r="G34" s="14">
        <v>0</v>
      </c>
      <c r="H34" s="14">
        <v>360</v>
      </c>
      <c r="I34" s="15">
        <f t="shared" si="0"/>
        <v>1270</v>
      </c>
      <c r="J34" s="15">
        <f t="shared" si="1"/>
        <v>170</v>
      </c>
      <c r="K34" s="16" t="s">
        <v>62</v>
      </c>
      <c r="L34" s="16" t="s">
        <v>63</v>
      </c>
      <c r="M34" s="16" t="s">
        <v>27</v>
      </c>
      <c r="N34" s="17" t="s">
        <v>80</v>
      </c>
    </row>
    <row r="35" spans="1:14" x14ac:dyDescent="0.3">
      <c r="A35" s="13">
        <v>46296</v>
      </c>
      <c r="B35" s="14">
        <v>570</v>
      </c>
      <c r="C35" s="14">
        <v>120</v>
      </c>
      <c r="D35" s="14">
        <v>180</v>
      </c>
      <c r="E35" s="14">
        <v>0</v>
      </c>
      <c r="F35" s="14">
        <v>0</v>
      </c>
      <c r="G35" s="14">
        <v>0</v>
      </c>
      <c r="H35" s="14">
        <v>420</v>
      </c>
      <c r="I35" s="15">
        <f t="shared" si="0"/>
        <v>1290</v>
      </c>
      <c r="J35" s="15">
        <f t="shared" si="1"/>
        <v>150</v>
      </c>
      <c r="K35" s="16" t="s">
        <v>62</v>
      </c>
      <c r="L35" s="16" t="s">
        <v>63</v>
      </c>
      <c r="M35" s="16" t="s">
        <v>27</v>
      </c>
      <c r="N35" s="17" t="s">
        <v>82</v>
      </c>
    </row>
    <row r="36" spans="1:14" x14ac:dyDescent="0.3">
      <c r="A36" s="13">
        <v>46297</v>
      </c>
      <c r="B36" s="14">
        <v>540</v>
      </c>
      <c r="C36" s="14">
        <v>120</v>
      </c>
      <c r="D36" s="14">
        <v>120</v>
      </c>
      <c r="E36" s="14">
        <v>0</v>
      </c>
      <c r="F36" s="14">
        <v>0</v>
      </c>
      <c r="G36" s="14">
        <v>0</v>
      </c>
      <c r="H36" s="14">
        <v>300</v>
      </c>
      <c r="I36" s="15">
        <f t="shared" si="0"/>
        <v>1080</v>
      </c>
      <c r="J36" s="15">
        <f t="shared" si="1"/>
        <v>360</v>
      </c>
      <c r="K36" s="16" t="s">
        <v>62</v>
      </c>
      <c r="L36" s="16" t="s">
        <v>76</v>
      </c>
      <c r="M36" s="16" t="s">
        <v>27</v>
      </c>
      <c r="N36" s="17" t="s">
        <v>83</v>
      </c>
    </row>
    <row r="37" spans="1:14" x14ac:dyDescent="0.3">
      <c r="A37" s="13">
        <v>46298</v>
      </c>
      <c r="B37" s="14">
        <v>480</v>
      </c>
      <c r="C37" s="14">
        <v>180</v>
      </c>
      <c r="D37" s="14">
        <v>180</v>
      </c>
      <c r="E37" s="14">
        <v>60</v>
      </c>
      <c r="F37" s="14">
        <v>0</v>
      </c>
      <c r="G37" s="14">
        <v>0</v>
      </c>
      <c r="H37" s="14">
        <v>240</v>
      </c>
      <c r="I37" s="15">
        <f t="shared" si="0"/>
        <v>1140</v>
      </c>
      <c r="J37" s="15">
        <f t="shared" si="1"/>
        <v>300</v>
      </c>
      <c r="K37" s="16" t="s">
        <v>62</v>
      </c>
      <c r="L37" s="16" t="s">
        <v>64</v>
      </c>
      <c r="M37" s="16" t="s">
        <v>68</v>
      </c>
      <c r="N37" s="17" t="s">
        <v>69</v>
      </c>
    </row>
    <row r="38" spans="1:14" x14ac:dyDescent="0.3">
      <c r="A38" s="13">
        <v>46299</v>
      </c>
      <c r="B38" s="14">
        <v>660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120</v>
      </c>
      <c r="I38" s="15">
        <f t="shared" si="0"/>
        <v>780</v>
      </c>
      <c r="J38" s="15">
        <f t="shared" si="1"/>
        <v>660</v>
      </c>
      <c r="K38" s="16" t="s">
        <v>23</v>
      </c>
      <c r="L38" s="16" t="s">
        <v>75</v>
      </c>
      <c r="M38" s="16" t="s">
        <v>24</v>
      </c>
      <c r="N38" s="17" t="s">
        <v>84</v>
      </c>
    </row>
    <row r="39" spans="1:14" ht="28.8" x14ac:dyDescent="0.3">
      <c r="A39" s="13">
        <v>46300</v>
      </c>
      <c r="B39" s="14">
        <v>580</v>
      </c>
      <c r="C39" s="14">
        <v>60</v>
      </c>
      <c r="D39" s="14">
        <v>60</v>
      </c>
      <c r="E39" s="14">
        <v>0</v>
      </c>
      <c r="F39" s="14">
        <v>420</v>
      </c>
      <c r="G39" s="14">
        <v>7</v>
      </c>
      <c r="H39" s="14">
        <v>120</v>
      </c>
      <c r="I39" s="15">
        <f t="shared" si="0"/>
        <v>1240</v>
      </c>
      <c r="J39" s="15">
        <f t="shared" si="1"/>
        <v>200</v>
      </c>
      <c r="K39" s="16" t="s">
        <v>26</v>
      </c>
      <c r="L39" s="16" t="s">
        <v>64</v>
      </c>
      <c r="M39" s="16" t="s">
        <v>24</v>
      </c>
      <c r="N39" s="17" t="s">
        <v>85</v>
      </c>
    </row>
    <row r="40" spans="1:14" ht="28.8" x14ac:dyDescent="0.3">
      <c r="A40" s="13">
        <v>46301</v>
      </c>
      <c r="B40" s="14">
        <v>500</v>
      </c>
      <c r="C40" s="14">
        <v>120</v>
      </c>
      <c r="D40" s="14">
        <v>120</v>
      </c>
      <c r="E40" s="14">
        <v>60</v>
      </c>
      <c r="F40" s="14">
        <v>180</v>
      </c>
      <c r="G40" s="14">
        <v>3</v>
      </c>
      <c r="H40" s="14">
        <v>300</v>
      </c>
      <c r="I40" s="15">
        <f t="shared" si="0"/>
        <v>1280</v>
      </c>
      <c r="J40" s="15">
        <f t="shared" si="1"/>
        <v>160</v>
      </c>
      <c r="K40" s="16" t="s">
        <v>62</v>
      </c>
      <c r="L40" s="16" t="s">
        <v>63</v>
      </c>
      <c r="M40" s="16" t="s">
        <v>27</v>
      </c>
      <c r="N40" s="17" t="s">
        <v>86</v>
      </c>
    </row>
    <row r="41" spans="1:14" ht="28.8" x14ac:dyDescent="0.3">
      <c r="A41" s="13">
        <v>46302</v>
      </c>
      <c r="B41" s="14">
        <v>560</v>
      </c>
      <c r="C41" s="14">
        <v>120</v>
      </c>
      <c r="D41" s="14">
        <v>240</v>
      </c>
      <c r="E41" s="14">
        <v>0</v>
      </c>
      <c r="F41" s="14">
        <v>0</v>
      </c>
      <c r="G41" s="14">
        <v>0</v>
      </c>
      <c r="H41" s="14">
        <v>300</v>
      </c>
      <c r="I41" s="15">
        <f t="shared" si="0"/>
        <v>1220</v>
      </c>
      <c r="J41" s="15">
        <f t="shared" si="1"/>
        <v>220</v>
      </c>
      <c r="K41" s="16" t="s">
        <v>62</v>
      </c>
      <c r="L41" s="16" t="s">
        <v>64</v>
      </c>
      <c r="M41" s="16" t="s">
        <v>27</v>
      </c>
      <c r="N41" s="17" t="s">
        <v>88</v>
      </c>
    </row>
    <row r="42" spans="1:14" x14ac:dyDescent="0.3">
      <c r="A42" s="13">
        <v>46303</v>
      </c>
      <c r="B42" s="14">
        <v>540</v>
      </c>
      <c r="C42" s="14">
        <v>120</v>
      </c>
      <c r="D42" s="14">
        <v>180</v>
      </c>
      <c r="E42" s="14">
        <v>0</v>
      </c>
      <c r="F42" s="14">
        <v>0</v>
      </c>
      <c r="G42" s="14">
        <v>0</v>
      </c>
      <c r="H42" s="14">
        <v>420</v>
      </c>
      <c r="I42" s="15">
        <f t="shared" si="0"/>
        <v>1260</v>
      </c>
      <c r="J42" s="15">
        <f t="shared" si="1"/>
        <v>180</v>
      </c>
      <c r="K42" s="16" t="s">
        <v>62</v>
      </c>
      <c r="L42" s="16" t="s">
        <v>63</v>
      </c>
      <c r="M42" s="16" t="s">
        <v>27</v>
      </c>
      <c r="N42" s="17" t="s">
        <v>87</v>
      </c>
    </row>
    <row r="43" spans="1:14" x14ac:dyDescent="0.3">
      <c r="A43" s="13">
        <v>46304</v>
      </c>
      <c r="B43" s="14">
        <v>680</v>
      </c>
      <c r="C43" s="14">
        <v>0</v>
      </c>
      <c r="D43" s="14">
        <v>180</v>
      </c>
      <c r="E43" s="14">
        <v>120</v>
      </c>
      <c r="F43" s="14">
        <v>0</v>
      </c>
      <c r="G43" s="14">
        <v>0</v>
      </c>
      <c r="H43" s="14">
        <v>240</v>
      </c>
      <c r="I43" s="15">
        <f t="shared" si="0"/>
        <v>1220</v>
      </c>
      <c r="J43" s="15">
        <f t="shared" si="1"/>
        <v>220</v>
      </c>
      <c r="K43" s="16" t="s">
        <v>62</v>
      </c>
      <c r="L43" s="16" t="s">
        <v>64</v>
      </c>
      <c r="M43" s="16" t="s">
        <v>27</v>
      </c>
      <c r="N43" s="17" t="s">
        <v>84</v>
      </c>
    </row>
    <row r="44" spans="1:14" ht="28.8" x14ac:dyDescent="0.3">
      <c r="A44" s="13">
        <v>46305</v>
      </c>
      <c r="B44" s="14">
        <v>460</v>
      </c>
      <c r="C44" s="14">
        <v>180</v>
      </c>
      <c r="D44" s="14">
        <v>240</v>
      </c>
      <c r="E44" s="14">
        <v>60</v>
      </c>
      <c r="F44" s="14">
        <v>0</v>
      </c>
      <c r="G44" s="14">
        <v>0</v>
      </c>
      <c r="H44" s="14">
        <v>180</v>
      </c>
      <c r="I44" s="15">
        <f t="shared" si="0"/>
        <v>1120</v>
      </c>
      <c r="J44" s="15">
        <f t="shared" si="1"/>
        <v>320</v>
      </c>
      <c r="K44" s="16" t="s">
        <v>26</v>
      </c>
      <c r="L44" s="16" t="s">
        <v>23</v>
      </c>
      <c r="M44" s="16" t="s">
        <v>27</v>
      </c>
      <c r="N44" s="17" t="s">
        <v>80</v>
      </c>
    </row>
    <row r="45" spans="1:14" x14ac:dyDescent="0.3">
      <c r="A45" s="13">
        <v>46306</v>
      </c>
      <c r="B45" s="14">
        <v>600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420</v>
      </c>
      <c r="I45" s="15">
        <f t="shared" si="0"/>
        <v>1020</v>
      </c>
      <c r="J45" s="15">
        <f t="shared" si="1"/>
        <v>420</v>
      </c>
      <c r="K45" s="16" t="s">
        <v>62</v>
      </c>
      <c r="L45" s="16" t="s">
        <v>63</v>
      </c>
      <c r="M45" s="16" t="s">
        <v>27</v>
      </c>
      <c r="N45" s="17" t="s">
        <v>89</v>
      </c>
    </row>
    <row r="46" spans="1:14" ht="28.8" x14ac:dyDescent="0.3">
      <c r="A46" s="13">
        <v>46307</v>
      </c>
      <c r="B46" s="14">
        <v>420</v>
      </c>
      <c r="C46" s="14">
        <v>120</v>
      </c>
      <c r="D46" s="14">
        <v>300</v>
      </c>
      <c r="E46" s="14">
        <v>0</v>
      </c>
      <c r="F46" s="14">
        <v>0</v>
      </c>
      <c r="G46" s="14">
        <v>0</v>
      </c>
      <c r="H46" s="14">
        <v>420</v>
      </c>
      <c r="I46" s="15">
        <f t="shared" si="0"/>
        <v>1260</v>
      </c>
      <c r="J46" s="15">
        <f t="shared" si="1"/>
        <v>180</v>
      </c>
      <c r="K46" s="16" t="s">
        <v>26</v>
      </c>
      <c r="L46" s="16" t="s">
        <v>63</v>
      </c>
      <c r="M46" s="16" t="s">
        <v>27</v>
      </c>
      <c r="N46" s="17" t="s">
        <v>90</v>
      </c>
    </row>
    <row r="47" spans="1:14" ht="28.8" x14ac:dyDescent="0.3">
      <c r="A47" s="13">
        <v>46308</v>
      </c>
      <c r="B47" s="14">
        <v>570</v>
      </c>
      <c r="C47" s="14">
        <v>120</v>
      </c>
      <c r="D47" s="14">
        <v>240</v>
      </c>
      <c r="E47" s="14">
        <v>0</v>
      </c>
      <c r="F47" s="14">
        <v>0</v>
      </c>
      <c r="G47" s="14">
        <v>0</v>
      </c>
      <c r="H47" s="14">
        <v>360</v>
      </c>
      <c r="I47" s="15">
        <f t="shared" si="0"/>
        <v>1290</v>
      </c>
      <c r="J47" s="15">
        <f t="shared" si="1"/>
        <v>150</v>
      </c>
      <c r="K47" s="16" t="s">
        <v>62</v>
      </c>
      <c r="L47" s="16" t="s">
        <v>63</v>
      </c>
      <c r="M47" s="16" t="s">
        <v>27</v>
      </c>
      <c r="N47" s="17" t="s">
        <v>90</v>
      </c>
    </row>
    <row r="48" spans="1:14" x14ac:dyDescent="0.3">
      <c r="A48" s="13">
        <v>46309</v>
      </c>
      <c r="B48" s="14">
        <v>620</v>
      </c>
      <c r="C48" s="14">
        <v>120</v>
      </c>
      <c r="D48" s="14">
        <v>180</v>
      </c>
      <c r="E48" s="14">
        <v>0</v>
      </c>
      <c r="F48" s="14">
        <v>0</v>
      </c>
      <c r="G48" s="14">
        <v>0</v>
      </c>
      <c r="H48" s="14">
        <v>300</v>
      </c>
      <c r="I48" s="15">
        <f t="shared" si="0"/>
        <v>1220</v>
      </c>
      <c r="J48" s="15">
        <f t="shared" si="1"/>
        <v>220</v>
      </c>
      <c r="K48" s="16" t="s">
        <v>62</v>
      </c>
      <c r="L48" s="16" t="s">
        <v>64</v>
      </c>
      <c r="M48" s="16" t="s">
        <v>27</v>
      </c>
      <c r="N48" s="17"/>
    </row>
    <row r="49" spans="1:14" ht="28.8" x14ac:dyDescent="0.3">
      <c r="A49" s="13">
        <v>46310</v>
      </c>
      <c r="B49" s="14">
        <v>600</v>
      </c>
      <c r="C49" s="14">
        <v>120</v>
      </c>
      <c r="D49" s="14">
        <v>300</v>
      </c>
      <c r="E49" s="14">
        <v>0</v>
      </c>
      <c r="F49" s="14">
        <v>0</v>
      </c>
      <c r="G49" s="14">
        <v>0</v>
      </c>
      <c r="H49" s="14">
        <v>240</v>
      </c>
      <c r="I49" s="15">
        <f t="shared" si="0"/>
        <v>1260</v>
      </c>
      <c r="J49" s="15">
        <f t="shared" si="1"/>
        <v>180</v>
      </c>
      <c r="K49" s="16" t="s">
        <v>62</v>
      </c>
      <c r="L49" s="16" t="s">
        <v>63</v>
      </c>
      <c r="M49" s="16" t="s">
        <v>68</v>
      </c>
      <c r="N49" s="17" t="s">
        <v>91</v>
      </c>
    </row>
    <row r="50" spans="1:14" x14ac:dyDescent="0.3">
      <c r="A50" s="13">
        <v>46311</v>
      </c>
      <c r="B50" s="14">
        <v>510</v>
      </c>
      <c r="C50" s="14">
        <v>120</v>
      </c>
      <c r="D50" s="14">
        <v>120</v>
      </c>
      <c r="E50" s="14">
        <v>0</v>
      </c>
      <c r="F50" s="14">
        <v>0</v>
      </c>
      <c r="G50" s="14">
        <v>0</v>
      </c>
      <c r="H50" s="14">
        <v>360</v>
      </c>
      <c r="I50" s="15">
        <f t="shared" si="0"/>
        <v>1110</v>
      </c>
      <c r="J50" s="15">
        <f t="shared" si="1"/>
        <v>330</v>
      </c>
      <c r="K50" s="16" t="s">
        <v>26</v>
      </c>
      <c r="L50" s="16" t="s">
        <v>23</v>
      </c>
      <c r="M50" s="16" t="s">
        <v>27</v>
      </c>
      <c r="N50" s="17" t="s">
        <v>92</v>
      </c>
    </row>
    <row r="51" spans="1:14" x14ac:dyDescent="0.3">
      <c r="A51" s="13">
        <v>46312</v>
      </c>
      <c r="B51" s="14">
        <v>260</v>
      </c>
      <c r="C51" s="14">
        <v>180</v>
      </c>
      <c r="D51" s="14">
        <v>0</v>
      </c>
      <c r="E51" s="14">
        <v>0</v>
      </c>
      <c r="F51" s="14">
        <v>0</v>
      </c>
      <c r="G51" s="14">
        <v>0</v>
      </c>
      <c r="H51" s="14">
        <v>480</v>
      </c>
      <c r="I51" s="15">
        <f>IF(SUM(B51:F51,H51)=0,"",SUM(B51:F51,H51))</f>
        <v>920</v>
      </c>
      <c r="J51" s="15">
        <f t="shared" si="1"/>
        <v>520</v>
      </c>
      <c r="K51" s="16" t="s">
        <v>24</v>
      </c>
      <c r="L51" s="16" t="s">
        <v>76</v>
      </c>
      <c r="M51" s="16" t="s">
        <v>27</v>
      </c>
      <c r="N51" s="17" t="s">
        <v>94</v>
      </c>
    </row>
    <row r="52" spans="1:14" x14ac:dyDescent="0.3">
      <c r="A52" s="13">
        <v>46313</v>
      </c>
      <c r="B52" s="14">
        <v>630</v>
      </c>
      <c r="C52" s="14">
        <v>120</v>
      </c>
      <c r="D52" s="14">
        <v>0</v>
      </c>
      <c r="E52" s="14">
        <v>0</v>
      </c>
      <c r="F52" s="14">
        <v>0</v>
      </c>
      <c r="G52" s="14">
        <v>0</v>
      </c>
      <c r="H52" s="14">
        <v>420</v>
      </c>
      <c r="I52" s="15">
        <f t="shared" si="0"/>
        <v>1170</v>
      </c>
      <c r="J52" s="15">
        <f t="shared" si="1"/>
        <v>270</v>
      </c>
      <c r="K52" s="16" t="s">
        <v>62</v>
      </c>
      <c r="L52" s="16" t="s">
        <v>64</v>
      </c>
      <c r="M52" s="16" t="s">
        <v>27</v>
      </c>
      <c r="N52" s="17" t="s">
        <v>95</v>
      </c>
    </row>
    <row r="53" spans="1:14" x14ac:dyDescent="0.3">
      <c r="A53" s="13">
        <v>46314</v>
      </c>
      <c r="B53" s="14">
        <v>450</v>
      </c>
      <c r="C53" s="14">
        <v>0</v>
      </c>
      <c r="D53" s="14">
        <v>0</v>
      </c>
      <c r="E53" s="14">
        <v>60</v>
      </c>
      <c r="F53" s="14">
        <v>420</v>
      </c>
      <c r="G53" s="14">
        <v>7</v>
      </c>
      <c r="H53" s="14">
        <v>360</v>
      </c>
      <c r="I53" s="15">
        <f t="shared" si="0"/>
        <v>1290</v>
      </c>
      <c r="J53" s="15">
        <f t="shared" si="1"/>
        <v>150</v>
      </c>
      <c r="K53" s="16" t="s">
        <v>26</v>
      </c>
      <c r="L53" s="16" t="s">
        <v>63</v>
      </c>
      <c r="M53" s="16" t="s">
        <v>24</v>
      </c>
      <c r="N53" s="17" t="s">
        <v>93</v>
      </c>
    </row>
    <row r="54" spans="1:14" x14ac:dyDescent="0.3">
      <c r="A54" s="13">
        <v>46315</v>
      </c>
      <c r="B54" s="14">
        <v>470</v>
      </c>
      <c r="C54" s="14">
        <v>180</v>
      </c>
      <c r="D54" s="14">
        <v>0</v>
      </c>
      <c r="E54" s="14">
        <v>0</v>
      </c>
      <c r="F54" s="14">
        <v>0</v>
      </c>
      <c r="G54" s="14">
        <v>0</v>
      </c>
      <c r="H54" s="14">
        <v>360</v>
      </c>
      <c r="I54" s="15">
        <f t="shared" si="0"/>
        <v>1010</v>
      </c>
      <c r="J54" s="15">
        <f t="shared" si="1"/>
        <v>430</v>
      </c>
      <c r="K54" s="16" t="s">
        <v>26</v>
      </c>
      <c r="L54" s="16" t="s">
        <v>76</v>
      </c>
      <c r="M54" s="16" t="s">
        <v>27</v>
      </c>
      <c r="N54" s="17" t="s">
        <v>87</v>
      </c>
    </row>
    <row r="55" spans="1:14" ht="43.2" x14ac:dyDescent="0.3">
      <c r="A55" s="13">
        <v>46316</v>
      </c>
      <c r="B55" s="14">
        <v>570</v>
      </c>
      <c r="C55" s="14">
        <v>180</v>
      </c>
      <c r="D55" s="14">
        <v>180</v>
      </c>
      <c r="E55" s="14">
        <v>180</v>
      </c>
      <c r="F55" s="14">
        <v>120</v>
      </c>
      <c r="G55" s="14">
        <v>2</v>
      </c>
      <c r="H55" s="14">
        <v>180</v>
      </c>
      <c r="I55" s="15">
        <f t="shared" si="0"/>
        <v>1410</v>
      </c>
      <c r="J55" s="15">
        <f t="shared" si="1"/>
        <v>30</v>
      </c>
      <c r="K55" s="16" t="s">
        <v>26</v>
      </c>
      <c r="L55" s="16" t="s">
        <v>63</v>
      </c>
      <c r="M55" s="16" t="s">
        <v>27</v>
      </c>
      <c r="N55" s="17" t="s">
        <v>96</v>
      </c>
    </row>
    <row r="56" spans="1:14" x14ac:dyDescent="0.3">
      <c r="A56" s="13">
        <v>46317</v>
      </c>
      <c r="B56" s="14">
        <v>420</v>
      </c>
      <c r="C56" s="14">
        <v>180</v>
      </c>
      <c r="D56" s="14">
        <v>240</v>
      </c>
      <c r="E56" s="14">
        <v>120</v>
      </c>
      <c r="F56" s="14">
        <v>180</v>
      </c>
      <c r="G56" s="14">
        <v>3</v>
      </c>
      <c r="H56" s="14">
        <v>240</v>
      </c>
      <c r="I56" s="15">
        <f t="shared" si="0"/>
        <v>1380</v>
      </c>
      <c r="J56" s="15">
        <f t="shared" si="1"/>
        <v>60</v>
      </c>
      <c r="K56" s="16" t="s">
        <v>23</v>
      </c>
      <c r="L56" s="16" t="s">
        <v>63</v>
      </c>
      <c r="M56" s="16" t="s">
        <v>27</v>
      </c>
      <c r="N56" s="17" t="s">
        <v>98</v>
      </c>
    </row>
    <row r="57" spans="1:14" x14ac:dyDescent="0.3">
      <c r="A57" s="13">
        <v>46318</v>
      </c>
      <c r="B57" s="14">
        <v>450</v>
      </c>
      <c r="C57" s="14">
        <v>0</v>
      </c>
      <c r="D57" s="14">
        <v>0</v>
      </c>
      <c r="E57" s="14">
        <v>180</v>
      </c>
      <c r="F57" s="14">
        <v>360</v>
      </c>
      <c r="G57" s="14">
        <v>6</v>
      </c>
      <c r="H57" s="14">
        <v>180</v>
      </c>
      <c r="I57" s="15">
        <f t="shared" si="0"/>
        <v>1170</v>
      </c>
      <c r="J57" s="15">
        <f t="shared" si="1"/>
        <v>270</v>
      </c>
      <c r="K57" s="16" t="s">
        <v>26</v>
      </c>
      <c r="L57" s="16" t="s">
        <v>64</v>
      </c>
      <c r="M57" s="16" t="s">
        <v>24</v>
      </c>
      <c r="N57" s="17" t="s">
        <v>97</v>
      </c>
    </row>
    <row r="58" spans="1:14" ht="28.8" x14ac:dyDescent="0.3">
      <c r="A58" s="13">
        <v>46319</v>
      </c>
      <c r="B58" s="14">
        <v>510</v>
      </c>
      <c r="C58" s="14">
        <v>120</v>
      </c>
      <c r="D58" s="14">
        <v>240</v>
      </c>
      <c r="E58" s="14">
        <v>60</v>
      </c>
      <c r="F58" s="14">
        <v>0</v>
      </c>
      <c r="G58" s="14">
        <v>0</v>
      </c>
      <c r="H58" s="14">
        <v>360</v>
      </c>
      <c r="I58" s="15">
        <f t="shared" si="0"/>
        <v>1290</v>
      </c>
      <c r="J58" s="15">
        <f t="shared" si="1"/>
        <v>150</v>
      </c>
      <c r="K58" s="16" t="s">
        <v>26</v>
      </c>
      <c r="L58" s="16" t="s">
        <v>63</v>
      </c>
      <c r="M58" s="16" t="s">
        <v>27</v>
      </c>
      <c r="N58" s="17" t="s">
        <v>31</v>
      </c>
    </row>
    <row r="59" spans="1:14" x14ac:dyDescent="0.3">
      <c r="A59" s="13">
        <v>46320</v>
      </c>
      <c r="B59" s="14">
        <v>470</v>
      </c>
      <c r="C59" s="14">
        <v>120</v>
      </c>
      <c r="D59" s="14">
        <v>180</v>
      </c>
      <c r="E59" s="14">
        <v>0</v>
      </c>
      <c r="F59" s="14">
        <v>0</v>
      </c>
      <c r="G59" s="14">
        <v>0</v>
      </c>
      <c r="H59" s="14">
        <v>180</v>
      </c>
      <c r="I59" s="15">
        <f t="shared" si="0"/>
        <v>950</v>
      </c>
      <c r="J59" s="15">
        <f t="shared" si="1"/>
        <v>490</v>
      </c>
      <c r="K59" s="16" t="s">
        <v>23</v>
      </c>
      <c r="L59" s="16" t="s">
        <v>76</v>
      </c>
      <c r="M59" s="16" t="s">
        <v>27</v>
      </c>
      <c r="N59" s="17" t="s">
        <v>102</v>
      </c>
    </row>
    <row r="60" spans="1:14" x14ac:dyDescent="0.3">
      <c r="A60" s="13">
        <v>46321</v>
      </c>
      <c r="B60" s="14">
        <v>560</v>
      </c>
      <c r="C60" s="14">
        <v>120</v>
      </c>
      <c r="D60" s="14">
        <v>180</v>
      </c>
      <c r="E60" s="14">
        <v>0</v>
      </c>
      <c r="F60" s="14">
        <v>360</v>
      </c>
      <c r="G60" s="14">
        <v>6</v>
      </c>
      <c r="H60" s="14">
        <v>180</v>
      </c>
      <c r="I60" s="15">
        <f t="shared" si="0"/>
        <v>1400</v>
      </c>
      <c r="J60" s="15">
        <f t="shared" si="1"/>
        <v>40</v>
      </c>
      <c r="K60" s="16" t="s">
        <v>62</v>
      </c>
      <c r="L60" s="16" t="s">
        <v>63</v>
      </c>
      <c r="M60" s="16" t="s">
        <v>24</v>
      </c>
      <c r="N60" s="17" t="s">
        <v>99</v>
      </c>
    </row>
    <row r="61" spans="1:14" x14ac:dyDescent="0.3">
      <c r="A61" s="13">
        <v>46322</v>
      </c>
      <c r="B61" s="14">
        <v>300</v>
      </c>
      <c r="C61" s="14">
        <v>120</v>
      </c>
      <c r="D61" s="14">
        <v>120</v>
      </c>
      <c r="E61" s="14">
        <v>120</v>
      </c>
      <c r="F61" s="14">
        <v>60</v>
      </c>
      <c r="G61" s="14">
        <v>1</v>
      </c>
      <c r="H61" s="14">
        <v>480</v>
      </c>
      <c r="I61" s="15">
        <f t="shared" si="0"/>
        <v>1200</v>
      </c>
      <c r="J61" s="15">
        <f t="shared" si="1"/>
        <v>240</v>
      </c>
      <c r="K61" s="16" t="s">
        <v>23</v>
      </c>
      <c r="L61" s="16" t="s">
        <v>23</v>
      </c>
      <c r="M61" s="16" t="s">
        <v>27</v>
      </c>
      <c r="N61" s="17" t="s">
        <v>99</v>
      </c>
    </row>
    <row r="62" spans="1:14" x14ac:dyDescent="0.3">
      <c r="A62" s="13">
        <v>46323</v>
      </c>
      <c r="B62" s="14">
        <v>510</v>
      </c>
      <c r="C62" s="14">
        <v>120</v>
      </c>
      <c r="D62" s="14">
        <v>120</v>
      </c>
      <c r="E62" s="14">
        <v>0</v>
      </c>
      <c r="F62" s="14">
        <v>240</v>
      </c>
      <c r="G62" s="14">
        <v>4</v>
      </c>
      <c r="H62" s="14">
        <v>0</v>
      </c>
      <c r="I62" s="15">
        <f t="shared" ref="I62:I125" si="2">IF(SUM(B62:F62,H62)=0,"",SUM(B62:F62,H62))</f>
        <v>990</v>
      </c>
      <c r="J62" s="15">
        <f t="shared" ref="J62:J125" si="3">IF(I62="","",1440-I62)</f>
        <v>450</v>
      </c>
      <c r="K62" s="16" t="s">
        <v>62</v>
      </c>
      <c r="L62" s="16" t="s">
        <v>76</v>
      </c>
      <c r="M62" s="16" t="s">
        <v>68</v>
      </c>
      <c r="N62" s="17" t="s">
        <v>101</v>
      </c>
    </row>
    <row r="63" spans="1:14" x14ac:dyDescent="0.3">
      <c r="A63" s="13">
        <v>46324</v>
      </c>
      <c r="B63" s="14">
        <v>460</v>
      </c>
      <c r="C63" s="14">
        <v>120</v>
      </c>
      <c r="D63" s="14">
        <v>120</v>
      </c>
      <c r="E63" s="14">
        <v>0</v>
      </c>
      <c r="F63" s="14">
        <v>0</v>
      </c>
      <c r="G63" s="14">
        <v>0</v>
      </c>
      <c r="H63" s="14">
        <v>0</v>
      </c>
      <c r="I63" s="15">
        <f t="shared" si="2"/>
        <v>700</v>
      </c>
      <c r="J63" s="15">
        <f t="shared" si="3"/>
        <v>740</v>
      </c>
      <c r="K63" s="16" t="s">
        <v>26</v>
      </c>
      <c r="L63" s="16" t="s">
        <v>75</v>
      </c>
      <c r="M63" s="16" t="s">
        <v>68</v>
      </c>
      <c r="N63" s="17" t="s">
        <v>101</v>
      </c>
    </row>
    <row r="64" spans="1:14" x14ac:dyDescent="0.3">
      <c r="A64" s="13">
        <v>46325</v>
      </c>
      <c r="B64" s="14">
        <v>440</v>
      </c>
      <c r="C64" s="14">
        <v>120</v>
      </c>
      <c r="D64" s="14">
        <v>60</v>
      </c>
      <c r="E64" s="14">
        <v>120</v>
      </c>
      <c r="F64" s="14">
        <v>120</v>
      </c>
      <c r="G64" s="14">
        <v>2</v>
      </c>
      <c r="H64" s="14">
        <v>240</v>
      </c>
      <c r="I64" s="15">
        <f t="shared" si="2"/>
        <v>1100</v>
      </c>
      <c r="J64" s="15">
        <f t="shared" si="3"/>
        <v>340</v>
      </c>
      <c r="K64" s="16" t="s">
        <v>26</v>
      </c>
      <c r="L64" s="16" t="s">
        <v>23</v>
      </c>
      <c r="M64" s="16" t="s">
        <v>68</v>
      </c>
      <c r="N64" s="17" t="s">
        <v>100</v>
      </c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2"/>
        <v/>
      </c>
      <c r="J65" s="15" t="str">
        <f t="shared" si="3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2"/>
        <v/>
      </c>
      <c r="J66" s="15" t="str">
        <f t="shared" si="3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2"/>
        <v/>
      </c>
      <c r="J67" s="15" t="str">
        <f t="shared" si="3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2"/>
        <v/>
      </c>
      <c r="J68" s="15" t="str">
        <f t="shared" si="3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2"/>
        <v/>
      </c>
      <c r="J69" s="15" t="str">
        <f t="shared" si="3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2"/>
        <v/>
      </c>
      <c r="J70" s="15" t="str">
        <f t="shared" si="3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ref="I126:I189" si="4">IF(SUM(B126:F126,H126)=0,"",SUM(B126:F126,H126))</f>
        <v/>
      </c>
      <c r="J126" s="15" t="str">
        <f t="shared" ref="J126:J189" si="5">IF(I126="","",1440-I126)</f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4"/>
        <v/>
      </c>
      <c r="J127" s="15" t="str">
        <f t="shared" si="5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4"/>
        <v/>
      </c>
      <c r="J128" s="15" t="str">
        <f t="shared" si="5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4"/>
        <v/>
      </c>
      <c r="J129" s="15" t="str">
        <f t="shared" si="5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4"/>
        <v/>
      </c>
      <c r="J134" s="15" t="str">
        <f t="shared" si="5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ref="I190:I253" si="6">IF(SUM(B190:F190,H190)=0,"",SUM(B190:F190,H190))</f>
        <v/>
      </c>
      <c r="J190" s="15" t="str">
        <f t="shared" ref="J190:J253" si="7">IF(I190="","",1440-I190)</f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6"/>
        <v/>
      </c>
      <c r="J198" s="15" t="str">
        <f t="shared" si="7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ref="I254:I317" si="8">IF(SUM(B254:F254,H254)=0,"",SUM(B254:F254,H254))</f>
        <v/>
      </c>
      <c r="J254" s="15" t="str">
        <f t="shared" ref="J254:J317" si="9">IF(I254="","",1440-I254)</f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8"/>
        <v/>
      </c>
      <c r="J262" s="15" t="str">
        <f t="shared" si="9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ref="I318:I381" si="10">IF(SUM(B318:F318,H318)=0,"",SUM(B318:F318,H318))</f>
        <v/>
      </c>
      <c r="J318" s="15" t="str">
        <f t="shared" ref="J318:J381" si="11">IF(I318="","",1440-I318)</f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0"/>
        <v/>
      </c>
      <c r="J326" s="15" t="str">
        <f t="shared" si="11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ref="I382:I387" si="12">IF(SUM(B382:F382,H382)=0,"",SUM(B382:F382,H382))</f>
        <v/>
      </c>
      <c r="J382" s="15" t="str">
        <f t="shared" ref="J382:J387" si="13">IF(I382="","",1440-I382)</f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</sheetData>
  <mergeCells count="6">
    <mergeCell ref="A1:N1"/>
    <mergeCell ref="F3:G3"/>
    <mergeCell ref="F2:G2"/>
    <mergeCell ref="B3:D3"/>
    <mergeCell ref="A4:N4"/>
    <mergeCell ref="B2:D2"/>
  </mergeCells>
  <conditionalFormatting sqref="J6:J387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87" xr:uid="{00000000-0002-0000-0100-000000000000}">
      <formula1>"Excellent,Good,Neutral,Low,Stressed"</formula1>
      <formula2>0</formula2>
    </dataValidation>
    <dataValidation type="list" allowBlank="1" prompt="Select today's satisfaction level" sqref="L6:L387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87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Gurkirat Kaur</cp:lastModifiedBy>
  <cp:revision>0</cp:revision>
  <dcterms:created xsi:type="dcterms:W3CDTF">2026-07-24T11:49:30Z</dcterms:created>
  <dcterms:modified xsi:type="dcterms:W3CDTF">2026-10-30T12:28:31Z</dcterms:modified>
  <dc:language>en-US</dc:language>
</cp:coreProperties>
</file>